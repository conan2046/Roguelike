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work\conan\tower\dataTable\"/>
    </mc:Choice>
  </mc:AlternateContent>
  <xr:revisionPtr revIDLastSave="0" documentId="13_ncr:1_{353FA493-E308-4C00-A161-9712EDE961A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E6" i="2" s="1"/>
  <c r="H8" i="2"/>
  <c r="H6" i="2" s="1"/>
  <c r="G8" i="2"/>
  <c r="E5" i="2"/>
  <c r="H4" i="2"/>
  <c r="E2" i="2"/>
  <c r="L1" i="2"/>
  <c r="E1" i="2"/>
  <c r="H1" i="2" l="1"/>
  <c r="H2" i="2"/>
  <c r="E3" i="2"/>
  <c r="H3" i="2"/>
  <c r="E4" i="2"/>
  <c r="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</author>
  </authors>
  <commentList>
    <comment ref="C1" authorId="0" shapeId="0" xr:uid="{00000000-0006-0000-0000-000001000000}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1：普通
2：高级</t>
        </r>
      </text>
    </comment>
  </commentList>
</comments>
</file>

<file path=xl/sharedStrings.xml><?xml version="1.0" encoding="utf-8"?>
<sst xmlns="http://schemas.openxmlformats.org/spreadsheetml/2006/main" count="239" uniqueCount="83">
  <si>
    <t>ID</t>
  </si>
  <si>
    <t>名称</t>
  </si>
  <si>
    <t>宝箱类型</t>
  </si>
  <si>
    <t>关卡区间（左闭右闭）</t>
  </si>
  <si>
    <t>价格1</t>
  </si>
  <si>
    <t>价格2</t>
  </si>
  <si>
    <t>广告领取次数</t>
  </si>
  <si>
    <t>广告CD</t>
  </si>
  <si>
    <t>保底次数</t>
  </si>
  <si>
    <t>掉落物品Id</t>
  </si>
  <si>
    <t>权重</t>
  </si>
  <si>
    <t>概率展示用权重</t>
  </si>
  <si>
    <t>保底掉落物品Id</t>
  </si>
  <si>
    <t>保底描述</t>
  </si>
  <si>
    <t>必定获得</t>
  </si>
  <si>
    <t>int</t>
  </si>
  <si>
    <t>string</t>
  </si>
  <si>
    <t>int[]</t>
  </si>
  <si>
    <t>item</t>
  </si>
  <si>
    <t>lang</t>
  </si>
  <si>
    <t>nkey</t>
  </si>
  <si>
    <t>Id</t>
  </si>
  <si>
    <t>Name</t>
  </si>
  <si>
    <t>Type</t>
  </si>
  <si>
    <t>Range</t>
  </si>
  <si>
    <t>Price1</t>
  </si>
  <si>
    <t>Price2</t>
  </si>
  <si>
    <t>ADClaimCount</t>
  </si>
  <si>
    <t>ADInterval</t>
  </si>
  <si>
    <t>GuaranteeCount</t>
  </si>
  <si>
    <t>DropId</t>
  </si>
  <si>
    <t>Weight</t>
  </si>
  <si>
    <t>UIWeight</t>
  </si>
  <si>
    <t>GuaranteeDropId</t>
  </si>
  <si>
    <t>GuaranteeDesc</t>
  </si>
  <si>
    <t>SureGet</t>
  </si>
  <si>
    <t>普通宝箱</t>
  </si>
  <si>
    <t>1;15</t>
  </si>
  <si>
    <t>110*1</t>
  </si>
  <si>
    <t>101*50</t>
  </si>
  <si>
    <t>2001;2002;2003;2004;2005;2006</t>
  </si>
  <si>
    <t>9000;950;49;1;0;0</t>
  </si>
  <si>
    <t>6000;3000;980;10;9;1</t>
  </si>
  <si>
    <t>再打开&lt;color=#FDE97D&gt;&lt;size=32&gt;{0}&lt;/size&gt;&lt;/color&gt;次必定获得精良宝石！</t>
  </si>
  <si>
    <t>必定获得精良宝石！</t>
  </si>
  <si>
    <t>&amp;_ShopChestConfig_Name_1</t>
  </si>
  <si>
    <t>16;30</t>
  </si>
  <si>
    <t>&amp;_ShopChestConfig_GuaranteeDesc_1</t>
  </si>
  <si>
    <t>&amp;_ShopChestConfig_SureGet_1</t>
  </si>
  <si>
    <t>31;45</t>
  </si>
  <si>
    <t>46;60</t>
  </si>
  <si>
    <t>61;75</t>
  </si>
  <si>
    <t>76;90</t>
  </si>
  <si>
    <t>再打开&lt;color=#FDE97D&gt;&lt;size=32&gt;{0}&lt;/size&gt;&lt;/color&gt;次必定获得稀有宝石！</t>
  </si>
  <si>
    <t>必定获得稀有宝石！</t>
  </si>
  <si>
    <t>91;105</t>
  </si>
  <si>
    <t>&amp;_ShopChestConfig_GuaranteeDesc_6</t>
  </si>
  <si>
    <t>&amp;_ShopChestConfig_SureGet_6</t>
  </si>
  <si>
    <t>106;120</t>
  </si>
  <si>
    <t>121;135</t>
  </si>
  <si>
    <t>136;150</t>
  </si>
  <si>
    <t>高级宝箱</t>
  </si>
  <si>
    <t>111*1</t>
  </si>
  <si>
    <t>101*250</t>
  </si>
  <si>
    <t>2002;2003;2004;2005;2006;2007</t>
  </si>
  <si>
    <t>再打开&lt;color=#7DEFFD&gt;&lt;size=32&gt;{0}&lt;/size&gt;&lt;/color&gt;次必定获得史诗宝石！</t>
  </si>
  <si>
    <t>必定获得史诗宝石！</t>
  </si>
  <si>
    <t>&amp;_ShopChestConfig_Name_11</t>
  </si>
  <si>
    <t>&amp;_ShopChestConfig_GuaranteeDesc_11</t>
  </si>
  <si>
    <t>&amp;_ShopChestConfig_SureGet_11</t>
  </si>
  <si>
    <t>再打开&lt;color=#7DEFFD&gt;&lt;size=32&gt;{0}&lt;/size&gt;&lt;/color&gt;次必定获得传奇宝石！</t>
  </si>
  <si>
    <t>必定获得传奇宝石！</t>
  </si>
  <si>
    <t>&amp;_ShopChestConfig_GuaranteeDesc_16</t>
  </si>
  <si>
    <t>&amp;_ShopChestConfig_SureGet_16</t>
  </si>
  <si>
    <t>普通</t>
  </si>
  <si>
    <t>精良</t>
  </si>
  <si>
    <t>卓越</t>
  </si>
  <si>
    <t>稀有</t>
  </si>
  <si>
    <t>完美</t>
  </si>
  <si>
    <t>传奇</t>
  </si>
  <si>
    <t>传说</t>
  </si>
  <si>
    <t>绝世</t>
  </si>
  <si>
    <t>神话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</si>
</sst>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.00_ "/>
  </numFmts>
  <fonts count="8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178" fontId="0" fillId="0" borderId="0" xfId="0" applyNumberFormat="1" applyAlignment="1">
      <alignment horizontal="center"/>
    </xf>
    <xf numFmtId="9" fontId="0" fillId="0" borderId="0" xfId="1" applyFont="1" applyAlignment="1"/>
    <xf numFmtId="10" fontId="0" fillId="0" borderId="0" xfId="1" applyNumberFormat="1" applyFont="1" applyAlignment="1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百分比" xfId="1" builtinId="5"/>
    <cellStyle name="常规" xfId="0" builtinId="0"/>
  </cellStyles>
  <dxfs count="1">
    <dxf>
      <fill>
        <patternFill patternType="solid">
          <bgColor theme="8" tint="0.799859614856410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zoomScale="130" zoomScaleNormal="130" workbookViewId="0">
      <pane xSplit="2" ySplit="4" topLeftCell="C5" activePane="bottomRight" state="frozen"/>
      <selection pane="topRight"/>
      <selection pane="bottomLeft"/>
      <selection pane="bottomRight" activeCell="J33" sqref="J33"/>
    </sheetView>
  </sheetViews>
  <sheetFormatPr defaultColWidth="9" defaultRowHeight="14.25" x14ac:dyDescent="0.2"/>
  <cols>
    <col min="1" max="1" width="6.625" style="4" customWidth="1"/>
    <col min="2" max="2" width="29.5" style="4" customWidth="1"/>
    <col min="3" max="3" width="10.5" style="4" customWidth="1"/>
    <col min="4" max="4" width="13.75" style="4" customWidth="1"/>
    <col min="5" max="5" width="11.625" customWidth="1"/>
    <col min="6" max="9" width="14.75" customWidth="1"/>
    <col min="10" max="10" width="47.75" customWidth="1"/>
    <col min="11" max="12" width="25.5" customWidth="1"/>
    <col min="13" max="13" width="20" customWidth="1"/>
    <col min="14" max="15" width="36.125" customWidth="1"/>
  </cols>
  <sheetData>
    <row r="1" spans="1:15" ht="16.5" x14ac:dyDescent="0.2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</row>
    <row r="2" spans="1:15" ht="16.5" x14ac:dyDescent="0.2">
      <c r="A2" s="7" t="s">
        <v>15</v>
      </c>
      <c r="B2" s="7" t="s">
        <v>16</v>
      </c>
      <c r="C2" s="7" t="s">
        <v>15</v>
      </c>
      <c r="D2" s="7" t="s">
        <v>17</v>
      </c>
      <c r="E2" s="7" t="s">
        <v>18</v>
      </c>
      <c r="F2" s="7" t="s">
        <v>18</v>
      </c>
      <c r="G2" s="7" t="s">
        <v>15</v>
      </c>
      <c r="H2" s="7" t="s">
        <v>15</v>
      </c>
      <c r="I2" s="7" t="s">
        <v>15</v>
      </c>
      <c r="J2" s="7" t="s">
        <v>17</v>
      </c>
      <c r="K2" s="7" t="s">
        <v>17</v>
      </c>
      <c r="L2" s="7" t="s">
        <v>17</v>
      </c>
      <c r="M2" s="7" t="s">
        <v>15</v>
      </c>
      <c r="N2" s="7" t="s">
        <v>16</v>
      </c>
      <c r="O2" s="7" t="s">
        <v>16</v>
      </c>
    </row>
    <row r="3" spans="1:15" ht="16.5" x14ac:dyDescent="0.2">
      <c r="A3" s="8"/>
      <c r="B3" s="8" t="s">
        <v>19</v>
      </c>
      <c r="C3" s="8" t="s">
        <v>20</v>
      </c>
      <c r="D3" s="8"/>
      <c r="E3" s="8"/>
      <c r="F3" s="8"/>
      <c r="G3" s="8"/>
      <c r="H3" s="8"/>
      <c r="I3" s="8"/>
      <c r="J3" s="8"/>
      <c r="K3" s="8"/>
      <c r="L3" s="8"/>
      <c r="M3" s="8"/>
      <c r="N3" s="8" t="s">
        <v>19</v>
      </c>
      <c r="O3" s="8" t="s">
        <v>19</v>
      </c>
    </row>
    <row r="4" spans="1:15" ht="16.5" x14ac:dyDescent="0.2">
      <c r="A4" s="9" t="s">
        <v>21</v>
      </c>
      <c r="B4" s="9" t="s">
        <v>22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30</v>
      </c>
      <c r="K4" s="9" t="s">
        <v>31</v>
      </c>
      <c r="L4" s="9" t="s">
        <v>32</v>
      </c>
      <c r="M4" s="9" t="s">
        <v>33</v>
      </c>
      <c r="N4" s="9" t="s">
        <v>34</v>
      </c>
      <c r="O4" s="9" t="s">
        <v>35</v>
      </c>
    </row>
    <row r="5" spans="1:15" x14ac:dyDescent="0.2">
      <c r="A5" s="4">
        <v>1</v>
      </c>
      <c r="B5" s="4" t="s">
        <v>36</v>
      </c>
      <c r="C5" s="4">
        <v>1</v>
      </c>
      <c r="D5" s="4" t="s">
        <v>37</v>
      </c>
      <c r="E5" s="4" t="s">
        <v>38</v>
      </c>
      <c r="F5" s="4" t="s">
        <v>39</v>
      </c>
      <c r="G5" s="4">
        <v>0</v>
      </c>
      <c r="H5" s="4">
        <v>60</v>
      </c>
      <c r="I5" s="4">
        <v>10</v>
      </c>
      <c r="J5" s="4" t="s">
        <v>40</v>
      </c>
      <c r="K5" s="4" t="s">
        <v>41</v>
      </c>
      <c r="L5" s="4" t="s">
        <v>42</v>
      </c>
      <c r="M5" s="4">
        <v>2002</v>
      </c>
      <c r="N5" s="4" t="s">
        <v>43</v>
      </c>
      <c r="O5" s="4" t="s">
        <v>44</v>
      </c>
    </row>
    <row r="6" spans="1:15" x14ac:dyDescent="0.2">
      <c r="A6" s="4">
        <v>2</v>
      </c>
      <c r="B6" s="4" t="s">
        <v>45</v>
      </c>
      <c r="C6" s="4">
        <v>1</v>
      </c>
      <c r="D6" s="4" t="s">
        <v>46</v>
      </c>
      <c r="E6" s="4" t="s">
        <v>38</v>
      </c>
      <c r="F6" s="4" t="s">
        <v>39</v>
      </c>
      <c r="G6" s="4">
        <v>0</v>
      </c>
      <c r="H6" s="4">
        <v>60</v>
      </c>
      <c r="I6" s="4">
        <v>10</v>
      </c>
      <c r="J6" s="4" t="s">
        <v>40</v>
      </c>
      <c r="K6" s="4" t="s">
        <v>41</v>
      </c>
      <c r="L6" s="4" t="s">
        <v>42</v>
      </c>
      <c r="M6" s="4">
        <v>2002</v>
      </c>
      <c r="N6" s="4" t="s">
        <v>47</v>
      </c>
      <c r="O6" s="4" t="s">
        <v>48</v>
      </c>
    </row>
    <row r="7" spans="1:15" x14ac:dyDescent="0.2">
      <c r="A7" s="4">
        <v>3</v>
      </c>
      <c r="B7" s="4" t="s">
        <v>45</v>
      </c>
      <c r="C7" s="4">
        <v>1</v>
      </c>
      <c r="D7" s="4" t="s">
        <v>49</v>
      </c>
      <c r="E7" s="4" t="s">
        <v>38</v>
      </c>
      <c r="F7" s="4" t="s">
        <v>39</v>
      </c>
      <c r="G7" s="4">
        <v>0</v>
      </c>
      <c r="H7" s="4">
        <v>60</v>
      </c>
      <c r="I7" s="4">
        <v>10</v>
      </c>
      <c r="J7" s="4" t="s">
        <v>40</v>
      </c>
      <c r="K7" s="4" t="s">
        <v>41</v>
      </c>
      <c r="L7" s="4" t="s">
        <v>42</v>
      </c>
      <c r="M7" s="4">
        <v>2002</v>
      </c>
      <c r="N7" s="4" t="s">
        <v>47</v>
      </c>
      <c r="O7" s="4" t="s">
        <v>48</v>
      </c>
    </row>
    <row r="8" spans="1:15" x14ac:dyDescent="0.2">
      <c r="A8" s="4">
        <v>4</v>
      </c>
      <c r="B8" s="4" t="s">
        <v>45</v>
      </c>
      <c r="C8" s="4">
        <v>1</v>
      </c>
      <c r="D8" s="4" t="s">
        <v>50</v>
      </c>
      <c r="E8" s="4" t="s">
        <v>38</v>
      </c>
      <c r="F8" s="4" t="s">
        <v>39</v>
      </c>
      <c r="G8" s="4">
        <v>0</v>
      </c>
      <c r="H8" s="4">
        <v>60</v>
      </c>
      <c r="I8" s="4">
        <v>10</v>
      </c>
      <c r="J8" s="4" t="s">
        <v>40</v>
      </c>
      <c r="K8" s="4" t="s">
        <v>41</v>
      </c>
      <c r="L8" s="4" t="s">
        <v>42</v>
      </c>
      <c r="M8" s="4">
        <v>2002</v>
      </c>
      <c r="N8" s="4" t="s">
        <v>47</v>
      </c>
      <c r="O8" s="4" t="s">
        <v>48</v>
      </c>
    </row>
    <row r="9" spans="1:15" x14ac:dyDescent="0.2">
      <c r="A9" s="4">
        <v>5</v>
      </c>
      <c r="B9" s="4" t="s">
        <v>45</v>
      </c>
      <c r="C9" s="4">
        <v>1</v>
      </c>
      <c r="D9" s="4" t="s">
        <v>51</v>
      </c>
      <c r="E9" s="4" t="s">
        <v>38</v>
      </c>
      <c r="F9" s="4" t="s">
        <v>39</v>
      </c>
      <c r="G9" s="4">
        <v>0</v>
      </c>
      <c r="H9" s="4">
        <v>60</v>
      </c>
      <c r="I9" s="4">
        <v>10</v>
      </c>
      <c r="J9" s="4" t="s">
        <v>40</v>
      </c>
      <c r="K9" s="4" t="s">
        <v>41</v>
      </c>
      <c r="L9" s="4" t="s">
        <v>42</v>
      </c>
      <c r="M9" s="4">
        <v>2002</v>
      </c>
      <c r="N9" s="4" t="s">
        <v>47</v>
      </c>
      <c r="O9" s="4" t="s">
        <v>48</v>
      </c>
    </row>
    <row r="10" spans="1:15" x14ac:dyDescent="0.2">
      <c r="A10" s="4">
        <v>6</v>
      </c>
      <c r="B10" s="4" t="s">
        <v>45</v>
      </c>
      <c r="C10" s="4">
        <v>1</v>
      </c>
      <c r="D10" s="4" t="s">
        <v>52</v>
      </c>
      <c r="E10" s="4" t="s">
        <v>38</v>
      </c>
      <c r="F10" s="4" t="s">
        <v>39</v>
      </c>
      <c r="G10" s="4">
        <v>0</v>
      </c>
      <c r="H10" s="4">
        <v>60</v>
      </c>
      <c r="I10" s="4">
        <v>10</v>
      </c>
      <c r="J10" s="4" t="s">
        <v>40</v>
      </c>
      <c r="K10" s="4" t="s">
        <v>41</v>
      </c>
      <c r="L10" s="4" t="s">
        <v>42</v>
      </c>
      <c r="M10" s="4">
        <v>2003</v>
      </c>
      <c r="N10" s="4" t="s">
        <v>53</v>
      </c>
      <c r="O10" s="4" t="s">
        <v>54</v>
      </c>
    </row>
    <row r="11" spans="1:15" x14ac:dyDescent="0.2">
      <c r="A11" s="4">
        <v>7</v>
      </c>
      <c r="B11" s="4" t="s">
        <v>45</v>
      </c>
      <c r="C11" s="4">
        <v>1</v>
      </c>
      <c r="D11" s="4" t="s">
        <v>55</v>
      </c>
      <c r="E11" s="4" t="s">
        <v>38</v>
      </c>
      <c r="F11" s="4" t="s">
        <v>39</v>
      </c>
      <c r="G11" s="4">
        <v>0</v>
      </c>
      <c r="H11" s="4">
        <v>60</v>
      </c>
      <c r="I11" s="4">
        <v>10</v>
      </c>
      <c r="J11" s="4" t="s">
        <v>40</v>
      </c>
      <c r="K11" s="4" t="s">
        <v>41</v>
      </c>
      <c r="L11" s="4" t="s">
        <v>42</v>
      </c>
      <c r="M11" s="4">
        <v>2003</v>
      </c>
      <c r="N11" s="4" t="s">
        <v>56</v>
      </c>
      <c r="O11" s="4" t="s">
        <v>57</v>
      </c>
    </row>
    <row r="12" spans="1:15" x14ac:dyDescent="0.2">
      <c r="A12" s="4">
        <v>8</v>
      </c>
      <c r="B12" s="4" t="s">
        <v>45</v>
      </c>
      <c r="C12" s="4">
        <v>1</v>
      </c>
      <c r="D12" s="4" t="s">
        <v>58</v>
      </c>
      <c r="E12" s="4" t="s">
        <v>38</v>
      </c>
      <c r="F12" s="4" t="s">
        <v>39</v>
      </c>
      <c r="G12" s="4">
        <v>0</v>
      </c>
      <c r="H12" s="4">
        <v>60</v>
      </c>
      <c r="I12" s="4">
        <v>10</v>
      </c>
      <c r="J12" s="4" t="s">
        <v>40</v>
      </c>
      <c r="K12" s="4" t="s">
        <v>41</v>
      </c>
      <c r="L12" s="4" t="s">
        <v>42</v>
      </c>
      <c r="M12" s="4">
        <v>2003</v>
      </c>
      <c r="N12" s="4" t="s">
        <v>56</v>
      </c>
      <c r="O12" s="4" t="s">
        <v>57</v>
      </c>
    </row>
    <row r="13" spans="1:15" x14ac:dyDescent="0.2">
      <c r="A13" s="4">
        <v>9</v>
      </c>
      <c r="B13" s="4" t="s">
        <v>45</v>
      </c>
      <c r="C13" s="4">
        <v>1</v>
      </c>
      <c r="D13" s="4" t="s">
        <v>59</v>
      </c>
      <c r="E13" s="4" t="s">
        <v>38</v>
      </c>
      <c r="F13" s="4" t="s">
        <v>39</v>
      </c>
      <c r="G13" s="4">
        <v>0</v>
      </c>
      <c r="H13" s="4">
        <v>60</v>
      </c>
      <c r="I13" s="4">
        <v>10</v>
      </c>
      <c r="J13" s="4" t="s">
        <v>40</v>
      </c>
      <c r="K13" s="4" t="s">
        <v>41</v>
      </c>
      <c r="L13" s="4" t="s">
        <v>42</v>
      </c>
      <c r="M13" s="4">
        <v>2003</v>
      </c>
      <c r="N13" s="4" t="s">
        <v>56</v>
      </c>
      <c r="O13" s="4" t="s">
        <v>57</v>
      </c>
    </row>
    <row r="14" spans="1:15" x14ac:dyDescent="0.2">
      <c r="A14" s="4">
        <v>10</v>
      </c>
      <c r="B14" s="4" t="s">
        <v>45</v>
      </c>
      <c r="C14" s="4">
        <v>1</v>
      </c>
      <c r="D14" s="4" t="s">
        <v>60</v>
      </c>
      <c r="E14" s="4" t="s">
        <v>38</v>
      </c>
      <c r="F14" s="4" t="s">
        <v>39</v>
      </c>
      <c r="G14" s="4">
        <v>0</v>
      </c>
      <c r="H14" s="4">
        <v>60</v>
      </c>
      <c r="I14" s="4">
        <v>10</v>
      </c>
      <c r="J14" s="4" t="s">
        <v>40</v>
      </c>
      <c r="K14" s="4" t="s">
        <v>41</v>
      </c>
      <c r="L14" s="4" t="s">
        <v>42</v>
      </c>
      <c r="M14" s="4">
        <v>2003</v>
      </c>
      <c r="N14" s="4" t="s">
        <v>56</v>
      </c>
      <c r="O14" s="4" t="s">
        <v>57</v>
      </c>
    </row>
    <row r="15" spans="1:15" x14ac:dyDescent="0.2">
      <c r="A15" s="4">
        <v>11</v>
      </c>
      <c r="B15" s="4" t="s">
        <v>61</v>
      </c>
      <c r="C15" s="4">
        <v>2</v>
      </c>
      <c r="D15" s="4" t="s">
        <v>37</v>
      </c>
      <c r="E15" s="4" t="s">
        <v>62</v>
      </c>
      <c r="F15" s="4" t="s">
        <v>63</v>
      </c>
      <c r="G15" s="4">
        <v>0</v>
      </c>
      <c r="H15" s="4">
        <v>60</v>
      </c>
      <c r="I15" s="4">
        <v>10</v>
      </c>
      <c r="J15" s="4" t="s">
        <v>64</v>
      </c>
      <c r="K15" s="4" t="s">
        <v>41</v>
      </c>
      <c r="L15" s="4" t="s">
        <v>42</v>
      </c>
      <c r="M15" s="4">
        <v>2004</v>
      </c>
      <c r="N15" s="4" t="s">
        <v>65</v>
      </c>
      <c r="O15" s="4" t="s">
        <v>66</v>
      </c>
    </row>
    <row r="16" spans="1:15" x14ac:dyDescent="0.2">
      <c r="A16" s="4">
        <v>12</v>
      </c>
      <c r="B16" s="4" t="s">
        <v>67</v>
      </c>
      <c r="C16" s="4">
        <v>2</v>
      </c>
      <c r="D16" s="4" t="s">
        <v>46</v>
      </c>
      <c r="E16" s="4" t="s">
        <v>62</v>
      </c>
      <c r="F16" s="4" t="s">
        <v>63</v>
      </c>
      <c r="G16" s="4">
        <v>0</v>
      </c>
      <c r="H16" s="4">
        <v>60</v>
      </c>
      <c r="I16" s="4">
        <v>10</v>
      </c>
      <c r="J16" s="4" t="s">
        <v>64</v>
      </c>
      <c r="K16" s="4" t="s">
        <v>41</v>
      </c>
      <c r="L16" s="4" t="s">
        <v>42</v>
      </c>
      <c r="M16" s="4">
        <v>2004</v>
      </c>
      <c r="N16" s="4" t="s">
        <v>68</v>
      </c>
      <c r="O16" s="4" t="s">
        <v>69</v>
      </c>
    </row>
    <row r="17" spans="1:15" x14ac:dyDescent="0.2">
      <c r="A17" s="4">
        <v>13</v>
      </c>
      <c r="B17" s="4" t="s">
        <v>67</v>
      </c>
      <c r="C17" s="4">
        <v>2</v>
      </c>
      <c r="D17" s="4" t="s">
        <v>49</v>
      </c>
      <c r="E17" s="4" t="s">
        <v>62</v>
      </c>
      <c r="F17" s="4" t="s">
        <v>63</v>
      </c>
      <c r="G17" s="4">
        <v>0</v>
      </c>
      <c r="H17" s="4">
        <v>60</v>
      </c>
      <c r="I17" s="4">
        <v>10</v>
      </c>
      <c r="J17" s="4" t="s">
        <v>64</v>
      </c>
      <c r="K17" s="4" t="s">
        <v>41</v>
      </c>
      <c r="L17" s="4" t="s">
        <v>42</v>
      </c>
      <c r="M17" s="4">
        <v>2004</v>
      </c>
      <c r="N17" s="4" t="s">
        <v>68</v>
      </c>
      <c r="O17" s="4" t="s">
        <v>69</v>
      </c>
    </row>
    <row r="18" spans="1:15" x14ac:dyDescent="0.2">
      <c r="A18" s="4">
        <v>14</v>
      </c>
      <c r="B18" s="4" t="s">
        <v>67</v>
      </c>
      <c r="C18" s="4">
        <v>2</v>
      </c>
      <c r="D18" s="4" t="s">
        <v>50</v>
      </c>
      <c r="E18" s="4" t="s">
        <v>62</v>
      </c>
      <c r="F18" s="4" t="s">
        <v>63</v>
      </c>
      <c r="G18" s="4">
        <v>0</v>
      </c>
      <c r="H18" s="4">
        <v>60</v>
      </c>
      <c r="I18" s="4">
        <v>10</v>
      </c>
      <c r="J18" s="4" t="s">
        <v>64</v>
      </c>
      <c r="K18" s="4" t="s">
        <v>41</v>
      </c>
      <c r="L18" s="4" t="s">
        <v>42</v>
      </c>
      <c r="M18" s="4">
        <v>2004</v>
      </c>
      <c r="N18" s="4" t="s">
        <v>68</v>
      </c>
      <c r="O18" s="4" t="s">
        <v>69</v>
      </c>
    </row>
    <row r="19" spans="1:15" x14ac:dyDescent="0.2">
      <c r="A19" s="4">
        <v>15</v>
      </c>
      <c r="B19" s="4" t="s">
        <v>67</v>
      </c>
      <c r="C19" s="4">
        <v>2</v>
      </c>
      <c r="D19" s="4" t="s">
        <v>51</v>
      </c>
      <c r="E19" s="4" t="s">
        <v>62</v>
      </c>
      <c r="F19" s="4" t="s">
        <v>63</v>
      </c>
      <c r="G19" s="4">
        <v>0</v>
      </c>
      <c r="H19" s="4">
        <v>60</v>
      </c>
      <c r="I19" s="4">
        <v>10</v>
      </c>
      <c r="J19" s="4" t="s">
        <v>64</v>
      </c>
      <c r="K19" s="4" t="s">
        <v>41</v>
      </c>
      <c r="L19" s="4" t="s">
        <v>42</v>
      </c>
      <c r="M19" s="4">
        <v>2004</v>
      </c>
      <c r="N19" s="4" t="s">
        <v>68</v>
      </c>
      <c r="O19" s="4" t="s">
        <v>69</v>
      </c>
    </row>
    <row r="20" spans="1:15" x14ac:dyDescent="0.2">
      <c r="A20" s="4">
        <v>16</v>
      </c>
      <c r="B20" s="4" t="s">
        <v>67</v>
      </c>
      <c r="C20" s="4">
        <v>2</v>
      </c>
      <c r="D20" s="4" t="s">
        <v>52</v>
      </c>
      <c r="E20" s="4" t="s">
        <v>62</v>
      </c>
      <c r="F20" s="4" t="s">
        <v>63</v>
      </c>
      <c r="G20" s="4">
        <v>0</v>
      </c>
      <c r="H20" s="4">
        <v>60</v>
      </c>
      <c r="I20" s="4">
        <v>10</v>
      </c>
      <c r="J20" s="4" t="s">
        <v>64</v>
      </c>
      <c r="K20" s="4" t="s">
        <v>41</v>
      </c>
      <c r="L20" s="4" t="s">
        <v>42</v>
      </c>
      <c r="M20" s="4">
        <v>2005</v>
      </c>
      <c r="N20" s="4" t="s">
        <v>70</v>
      </c>
      <c r="O20" s="4" t="s">
        <v>71</v>
      </c>
    </row>
    <row r="21" spans="1:15" x14ac:dyDescent="0.2">
      <c r="A21" s="4">
        <v>17</v>
      </c>
      <c r="B21" s="4" t="s">
        <v>67</v>
      </c>
      <c r="C21" s="4">
        <v>2</v>
      </c>
      <c r="D21" s="4" t="s">
        <v>55</v>
      </c>
      <c r="E21" s="4" t="s">
        <v>62</v>
      </c>
      <c r="F21" s="4" t="s">
        <v>63</v>
      </c>
      <c r="G21" s="4">
        <v>0</v>
      </c>
      <c r="H21" s="4">
        <v>60</v>
      </c>
      <c r="I21" s="4">
        <v>10</v>
      </c>
      <c r="J21" s="4" t="s">
        <v>64</v>
      </c>
      <c r="K21" s="4" t="s">
        <v>41</v>
      </c>
      <c r="L21" s="4" t="s">
        <v>42</v>
      </c>
      <c r="M21" s="4">
        <v>2005</v>
      </c>
      <c r="N21" s="4" t="s">
        <v>72</v>
      </c>
      <c r="O21" s="4" t="s">
        <v>73</v>
      </c>
    </row>
    <row r="22" spans="1:15" x14ac:dyDescent="0.2">
      <c r="A22" s="4">
        <v>18</v>
      </c>
      <c r="B22" s="4" t="s">
        <v>67</v>
      </c>
      <c r="C22" s="4">
        <v>2</v>
      </c>
      <c r="D22" s="4" t="s">
        <v>58</v>
      </c>
      <c r="E22" s="4" t="s">
        <v>62</v>
      </c>
      <c r="F22" s="4" t="s">
        <v>63</v>
      </c>
      <c r="G22" s="4">
        <v>0</v>
      </c>
      <c r="H22" s="4">
        <v>60</v>
      </c>
      <c r="I22" s="4">
        <v>10</v>
      </c>
      <c r="J22" s="4" t="s">
        <v>64</v>
      </c>
      <c r="K22" s="4" t="s">
        <v>41</v>
      </c>
      <c r="L22" s="4" t="s">
        <v>42</v>
      </c>
      <c r="M22" s="4">
        <v>2005</v>
      </c>
      <c r="N22" s="4" t="s">
        <v>72</v>
      </c>
      <c r="O22" s="4" t="s">
        <v>73</v>
      </c>
    </row>
    <row r="23" spans="1:15" x14ac:dyDescent="0.2">
      <c r="A23" s="4">
        <v>19</v>
      </c>
      <c r="B23" s="4" t="s">
        <v>67</v>
      </c>
      <c r="C23" s="4">
        <v>2</v>
      </c>
      <c r="D23" s="4" t="s">
        <v>59</v>
      </c>
      <c r="E23" s="4" t="s">
        <v>62</v>
      </c>
      <c r="F23" s="4" t="s">
        <v>63</v>
      </c>
      <c r="G23" s="4">
        <v>0</v>
      </c>
      <c r="H23" s="4">
        <v>60</v>
      </c>
      <c r="I23" s="4">
        <v>10</v>
      </c>
      <c r="J23" s="4" t="s">
        <v>64</v>
      </c>
      <c r="K23" s="4" t="s">
        <v>41</v>
      </c>
      <c r="L23" s="4" t="s">
        <v>42</v>
      </c>
      <c r="M23" s="4">
        <v>2005</v>
      </c>
      <c r="N23" s="4" t="s">
        <v>72</v>
      </c>
      <c r="O23" s="4" t="s">
        <v>73</v>
      </c>
    </row>
    <row r="24" spans="1:15" x14ac:dyDescent="0.2">
      <c r="A24" s="4">
        <v>20</v>
      </c>
      <c r="B24" s="4" t="s">
        <v>67</v>
      </c>
      <c r="C24" s="4">
        <v>2</v>
      </c>
      <c r="D24" s="4" t="s">
        <v>60</v>
      </c>
      <c r="E24" s="4" t="s">
        <v>62</v>
      </c>
      <c r="F24" s="4" t="s">
        <v>63</v>
      </c>
      <c r="G24" s="4">
        <v>0</v>
      </c>
      <c r="H24" s="4">
        <v>60</v>
      </c>
      <c r="I24" s="4">
        <v>10</v>
      </c>
      <c r="J24" s="4" t="s">
        <v>64</v>
      </c>
      <c r="K24" s="4" t="s">
        <v>41</v>
      </c>
      <c r="L24" s="4" t="s">
        <v>42</v>
      </c>
      <c r="M24" s="4">
        <v>2005</v>
      </c>
      <c r="N24" s="4" t="s">
        <v>72</v>
      </c>
      <c r="O24" s="4" t="s">
        <v>73</v>
      </c>
    </row>
    <row r="25" spans="1:15" x14ac:dyDescent="0.2"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2">
      <c r="E26" s="10"/>
      <c r="F26" s="10"/>
      <c r="G26" s="10"/>
      <c r="H26" s="10"/>
      <c r="I26" s="10"/>
      <c r="J26" s="10"/>
      <c r="M26" s="10"/>
      <c r="N26" s="10"/>
      <c r="O26" s="10"/>
    </row>
    <row r="27" spans="1:15" x14ac:dyDescent="0.2">
      <c r="E27" s="10"/>
      <c r="F27" s="10"/>
      <c r="G27" s="10"/>
      <c r="H27" s="10"/>
      <c r="I27" s="10"/>
      <c r="J27" s="10"/>
      <c r="M27" s="10"/>
      <c r="N27" s="10"/>
      <c r="O27" s="10"/>
    </row>
    <row r="28" spans="1:15" x14ac:dyDescent="0.2">
      <c r="E28" s="10"/>
      <c r="F28" s="10"/>
      <c r="G28" s="10"/>
      <c r="H28" s="10"/>
      <c r="I28" s="10"/>
      <c r="J28" s="10"/>
      <c r="M28" s="10"/>
      <c r="N28" s="10"/>
      <c r="O28" s="10"/>
    </row>
    <row r="29" spans="1:15" x14ac:dyDescent="0.2">
      <c r="E29" s="10"/>
      <c r="F29" s="10"/>
      <c r="G29" s="10"/>
      <c r="H29" s="10"/>
      <c r="I29" s="10"/>
      <c r="J29" s="10"/>
      <c r="M29" s="10"/>
      <c r="N29" s="10"/>
      <c r="O29" s="10"/>
    </row>
    <row r="30" spans="1:15" x14ac:dyDescent="0.2">
      <c r="E30" s="10"/>
      <c r="F30" s="10"/>
      <c r="G30" s="10"/>
      <c r="H30" s="10"/>
      <c r="I30" s="10"/>
      <c r="J30" s="10"/>
      <c r="M30" s="10"/>
      <c r="N30" s="10"/>
      <c r="O30" s="10"/>
    </row>
    <row r="31" spans="1:15" x14ac:dyDescent="0.2">
      <c r="E31" s="10"/>
      <c r="F31" s="10"/>
      <c r="G31" s="10"/>
      <c r="H31" s="10"/>
      <c r="I31" s="10"/>
      <c r="J31" s="10"/>
      <c r="M31" s="10"/>
      <c r="N31" s="10"/>
      <c r="O31" s="10"/>
    </row>
    <row r="32" spans="1:15" x14ac:dyDescent="0.2">
      <c r="E32" s="10"/>
      <c r="F32" s="10"/>
      <c r="G32" s="10"/>
      <c r="H32" s="10"/>
      <c r="I32" s="10"/>
      <c r="J32" s="10"/>
      <c r="M32" s="10"/>
      <c r="N32" s="10"/>
      <c r="O32" s="10"/>
    </row>
    <row r="33" spans="5:15" x14ac:dyDescent="0.2">
      <c r="E33" s="10"/>
      <c r="F33" s="10"/>
      <c r="G33" s="10"/>
      <c r="H33" s="10"/>
      <c r="I33" s="10"/>
      <c r="J33" s="10"/>
      <c r="M33" s="10"/>
      <c r="N33" s="10"/>
      <c r="O33" s="10"/>
    </row>
    <row r="34" spans="5:15" x14ac:dyDescent="0.2">
      <c r="E34" s="10"/>
      <c r="F34" s="10"/>
      <c r="G34" s="10"/>
      <c r="H34" s="10"/>
      <c r="I34" s="10"/>
      <c r="J34" s="10"/>
      <c r="M34" s="10"/>
      <c r="N34" s="10"/>
      <c r="O34" s="10"/>
    </row>
    <row r="35" spans="5:15" x14ac:dyDescent="0.2">
      <c r="E35" s="10"/>
      <c r="F35" s="10"/>
      <c r="G35" s="10"/>
      <c r="H35" s="10"/>
      <c r="I35" s="10"/>
      <c r="J35" s="10"/>
      <c r="M35" s="10"/>
      <c r="N35" s="10"/>
      <c r="O35" s="10"/>
    </row>
    <row r="36" spans="5:15" x14ac:dyDescent="0.2">
      <c r="E36" s="10"/>
      <c r="F36" s="10"/>
      <c r="G36" s="10"/>
      <c r="H36" s="10"/>
      <c r="I36" s="10"/>
      <c r="J36" s="10"/>
      <c r="M36" s="10"/>
      <c r="N36" s="10"/>
      <c r="O36" s="10"/>
    </row>
    <row r="37" spans="5:15" x14ac:dyDescent="0.2">
      <c r="E37" s="10"/>
      <c r="F37" s="10"/>
      <c r="G37" s="10"/>
      <c r="H37" s="10"/>
      <c r="I37" s="10"/>
      <c r="J37" s="10"/>
      <c r="M37" s="10"/>
      <c r="N37" s="10"/>
      <c r="O37" s="10"/>
    </row>
    <row r="38" spans="5:15" x14ac:dyDescent="0.2">
      <c r="E38" s="10"/>
      <c r="F38" s="10"/>
      <c r="G38" s="10"/>
      <c r="H38" s="10"/>
      <c r="I38" s="10"/>
      <c r="J38" s="10"/>
      <c r="M38" s="10"/>
      <c r="N38" s="10"/>
      <c r="O38" s="10"/>
    </row>
    <row r="39" spans="5:15" x14ac:dyDescent="0.2">
      <c r="E39" s="10"/>
      <c r="F39" s="10"/>
      <c r="G39" s="10"/>
      <c r="H39" s="10"/>
      <c r="I39" s="10"/>
      <c r="J39" s="10"/>
      <c r="M39" s="10"/>
      <c r="N39" s="10"/>
      <c r="O39" s="10"/>
    </row>
    <row r="40" spans="5:15" x14ac:dyDescent="0.2">
      <c r="E40" s="10"/>
      <c r="F40" s="10"/>
      <c r="G40" s="10"/>
      <c r="H40" s="10"/>
      <c r="I40" s="10"/>
      <c r="J40" s="10"/>
      <c r="M40" s="10"/>
      <c r="N40" s="10"/>
      <c r="O40" s="10"/>
    </row>
    <row r="41" spans="5:15" x14ac:dyDescent="0.2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5:15" x14ac:dyDescent="0.2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5:15" x14ac:dyDescent="0.2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5:15" x14ac:dyDescent="0.2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5:15" x14ac:dyDescent="0.2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</sheetData>
  <phoneticPr fontId="6" type="noConversion"/>
  <conditionalFormatting sqref="A5:O24">
    <cfRule type="expression" dxfId="0" priority="1">
      <formula>MOD($A5,2)=0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>
      <selection activeCell="J14" sqref="J14:O14"/>
    </sheetView>
  </sheetViews>
  <sheetFormatPr defaultColWidth="8.625" defaultRowHeight="14.25" x14ac:dyDescent="0.2"/>
  <cols>
    <col min="5" max="5" width="12.625"/>
  </cols>
  <sheetData>
    <row r="1" spans="1:15" x14ac:dyDescent="0.2">
      <c r="B1" t="s">
        <v>74</v>
      </c>
      <c r="C1">
        <v>6000</v>
      </c>
      <c r="E1" s="1">
        <f t="shared" ref="E1:E6" si="0">C1/$C$9</f>
        <v>0.59435364041604755</v>
      </c>
      <c r="G1" s="2">
        <v>0.6</v>
      </c>
      <c r="H1">
        <f t="shared" ref="H1:H6" si="1">$H$8*G1</f>
        <v>6000</v>
      </c>
      <c r="L1">
        <f>60+30+9.9+9+0.009+0.001</f>
        <v>108.91000000000001</v>
      </c>
    </row>
    <row r="2" spans="1:15" x14ac:dyDescent="0.2">
      <c r="B2" t="s">
        <v>75</v>
      </c>
      <c r="C2">
        <v>3000</v>
      </c>
      <c r="E2" s="1">
        <f t="shared" si="0"/>
        <v>0.29717682020802377</v>
      </c>
      <c r="G2" s="2">
        <v>0.3</v>
      </c>
      <c r="H2">
        <f t="shared" si="1"/>
        <v>3000</v>
      </c>
    </row>
    <row r="3" spans="1:15" x14ac:dyDescent="0.2">
      <c r="A3" t="s">
        <v>76</v>
      </c>
      <c r="B3" t="s">
        <v>77</v>
      </c>
      <c r="C3">
        <v>985</v>
      </c>
      <c r="E3" s="1">
        <f t="shared" si="0"/>
        <v>9.7573055968301139E-2</v>
      </c>
      <c r="G3" s="3">
        <v>9.8000000000000004E-2</v>
      </c>
      <c r="H3">
        <f t="shared" si="1"/>
        <v>980</v>
      </c>
    </row>
    <row r="4" spans="1:15" x14ac:dyDescent="0.2">
      <c r="A4" t="s">
        <v>78</v>
      </c>
      <c r="B4" t="s">
        <v>79</v>
      </c>
      <c r="C4">
        <v>100</v>
      </c>
      <c r="E4" s="1">
        <f t="shared" si="0"/>
        <v>9.9058940069341253E-3</v>
      </c>
      <c r="G4" s="3">
        <v>1E-3</v>
      </c>
      <c r="H4">
        <f t="shared" si="1"/>
        <v>10</v>
      </c>
    </row>
    <row r="5" spans="1:15" x14ac:dyDescent="0.2">
      <c r="A5" t="s">
        <v>80</v>
      </c>
      <c r="B5" t="s">
        <v>81</v>
      </c>
      <c r="C5">
        <v>9</v>
      </c>
      <c r="E5" s="1">
        <f t="shared" si="0"/>
        <v>8.915304606240713E-4</v>
      </c>
      <c r="G5" s="3">
        <v>8.9999999999999998E-4</v>
      </c>
      <c r="H5">
        <f t="shared" si="1"/>
        <v>9</v>
      </c>
    </row>
    <row r="6" spans="1:15" x14ac:dyDescent="0.2">
      <c r="A6" t="s">
        <v>81</v>
      </c>
      <c r="B6" t="s">
        <v>82</v>
      </c>
      <c r="C6">
        <v>1</v>
      </c>
      <c r="E6" s="1">
        <f t="shared" si="0"/>
        <v>9.9058940069341258E-5</v>
      </c>
      <c r="G6" s="3">
        <v>1E-4</v>
      </c>
      <c r="H6">
        <f t="shared" si="1"/>
        <v>1</v>
      </c>
    </row>
    <row r="8" spans="1:15" x14ac:dyDescent="0.2">
      <c r="G8">
        <f>SUM(G1:G6)</f>
        <v>0.99999999999999989</v>
      </c>
      <c r="H8">
        <f>10000</f>
        <v>10000</v>
      </c>
    </row>
    <row r="9" spans="1:15" x14ac:dyDescent="0.2">
      <c r="C9">
        <f>SUM(C1:C6)</f>
        <v>10095</v>
      </c>
    </row>
    <row r="14" spans="1:15" x14ac:dyDescent="0.2">
      <c r="I14">
        <v>6000</v>
      </c>
      <c r="J14">
        <v>6000</v>
      </c>
      <c r="K14">
        <v>3000</v>
      </c>
      <c r="L14">
        <v>980</v>
      </c>
      <c r="M14">
        <v>10</v>
      </c>
      <c r="N14">
        <v>9</v>
      </c>
      <c r="O14">
        <v>1</v>
      </c>
    </row>
    <row r="15" spans="1:15" x14ac:dyDescent="0.2">
      <c r="I15">
        <v>3000</v>
      </c>
    </row>
    <row r="16" spans="1:15" x14ac:dyDescent="0.2">
      <c r="I16">
        <v>980</v>
      </c>
    </row>
    <row r="17" spans="9:9" x14ac:dyDescent="0.2">
      <c r="I17">
        <v>10</v>
      </c>
    </row>
    <row r="18" spans="9:9" x14ac:dyDescent="0.2">
      <c r="I18">
        <v>9</v>
      </c>
    </row>
    <row r="19" spans="9:9" x14ac:dyDescent="0.2">
      <c r="I19">
        <v>1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昌宁 孙</cp:lastModifiedBy>
  <dcterms:created xsi:type="dcterms:W3CDTF">2015-06-05T18:19:00Z</dcterms:created>
  <dcterms:modified xsi:type="dcterms:W3CDTF">2024-06-17T02:11:29Z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BDEFCBCDE4134090AF9A482450CF8A2A_12</vt:lpwstr>
  </property>
  <property fmtid="{D5CDD505-2E9C-101B-9397-08002B2CF9AE}" pid="3" name="KSOProductBuildVer">
    <vt:lpwstr>2052-11.8.2.11813</vt:lpwstr>
  </property>
</Properties>
</file>