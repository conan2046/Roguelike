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<sst xmlns="http://schemas.openxmlformats.org/spreadsheetml/2006/main" count="80" uniqueCount="45">
  <si>
    <t>等级</t>
  </si>
  <si>
    <t>图标</t>
  </si>
  <si>
    <t>产出道具</t>
  </si>
  <si>
    <t>随机产出道具(物品id)</t>
  </si>
  <si>
    <t>产出时间(秒)</t>
  </si>
  <si>
    <t>最长时间(秒)</t>
  </si>
  <si>
    <t>升级到当前等级消耗</t>
  </si>
  <si>
    <t>升级所需时间(秒)</t>
  </si>
  <si>
    <t>升级所需关卡(&gt;)</t>
  </si>
  <si>
    <t>int</t>
  </si>
  <si>
    <t>string</t>
  </si>
  <si>
    <t>item</t>
  </si>
  <si>
    <r>
      <rPr>
        <sz val="16.5"/>
        <color rgb="FF7F8591"/>
        <rFont val="Courier New"/>
        <charset val="134"/>
      </rPr>
      <t>ICastleBuildingTable</t>
    </r>
  </si>
  <si>
    <t>Id</t>
  </si>
  <si>
    <t>res</t>
  </si>
  <si>
    <t>productionItem</t>
  </si>
  <si>
    <t>randomProduction</t>
  </si>
  <si>
    <t>needSecond</t>
  </si>
  <si>
    <t>maxSecond</t>
  </si>
  <si>
    <t>upgradeCost</t>
  </si>
  <si>
    <t>upgradeNeedTime</t>
  </si>
  <si>
    <t>upgradeNeedStage</t>
  </si>
  <si>
    <t>CastleAlchemyConfig</t>
  </si>
  <si>
    <t>100*200</t>
  </si>
  <si>
    <t>101*100</t>
  </si>
  <si>
    <t>101*200</t>
  </si>
  <si>
    <t>101*300</t>
  </si>
  <si>
    <t>101*400</t>
  </si>
  <si>
    <t>101*500</t>
  </si>
  <si>
    <t>101*600</t>
  </si>
  <si>
    <t>101*700</t>
  </si>
  <si>
    <t>101*800</t>
  </si>
  <si>
    <t>101*900</t>
  </si>
  <si>
    <t>101*1000</t>
  </si>
  <si>
    <t>101*1100</t>
  </si>
  <si>
    <t>101*1200</t>
  </si>
  <si>
    <t>101*1300</t>
  </si>
  <si>
    <t>101*1400</t>
  </si>
  <si>
    <t>累计次数</t>
  </si>
  <si>
    <t>单次收益时长</t>
  </si>
  <si>
    <t>每日产出上限(金币)</t>
  </si>
  <si>
    <t>每日产出上限(宝石/图纸)</t>
  </si>
  <si>
    <t>升级消耗钻石</t>
  </si>
  <si>
    <t>升级时长/时</t>
  </si>
  <si>
    <t>升级条件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</si>
</sst>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9"/>
  <sheetViews>
    <sheetView tabSelected="1" workbookViewId="0">
      <selection activeCell="M13" sqref="M13"/>
    </sheetView>
  </sheetViews>
  <sheetFormatPr defaultColWidth="9" defaultRowHeight="16.5"/>
  <cols>
    <col min="1" max="1" width="9" style="3"/>
    <col min="2" max="2" width="21.5583333333333" style="3" customWidth="1"/>
    <col min="3" max="3" width="15.8833333333333" style="3" customWidth="1"/>
    <col min="4" max="4" width="22.2166666666667" style="3" customWidth="1"/>
    <col min="5" max="5" width="12.775" style="3" customWidth="1"/>
    <col min="6" max="6" width="12.1083333333333" style="3" customWidth="1"/>
    <col min="7" max="7" width="19.1083333333333" style="3" customWidth="1"/>
    <col min="8" max="8" width="18.8833333333333" style="3" customWidth="1"/>
    <col min="9" max="9" width="19.4416666666667" style="3" customWidth="1"/>
    <col min="10" max="12" width="9" style="3"/>
    <col min="13" max="13" width="14.1083333333333" style="3"/>
    <col min="14" max="14" width="14.1083333333333" style="4"/>
    <col min="15" max="16384" width="9" style="3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 t="s">
        <v>9</v>
      </c>
      <c r="B2" s="6" t="s">
        <v>10</v>
      </c>
      <c r="C2" s="6" t="s">
        <v>11</v>
      </c>
      <c r="D2" s="6" t="s">
        <v>9</v>
      </c>
      <c r="E2" s="6" t="s">
        <v>9</v>
      </c>
      <c r="F2" s="6" t="s">
        <v>9</v>
      </c>
      <c r="G2" s="6" t="s">
        <v>11</v>
      </c>
      <c r="H2" s="6" t="s">
        <v>9</v>
      </c>
      <c r="I2" s="6" t="s">
        <v>9</v>
      </c>
    </row>
    <row r="3" ht="21.5" spans="1:9">
      <c r="A3" s="7" t="s">
        <v>12</v>
      </c>
      <c r="B3" s="7"/>
      <c r="C3" s="8"/>
      <c r="D3" s="8"/>
      <c r="E3" s="8"/>
      <c r="F3" s="8"/>
      <c r="G3" s="8"/>
      <c r="H3" s="8"/>
      <c r="I3" s="8"/>
    </row>
    <row r="4" spans="1:9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</row>
    <row r="5" spans="1:9">
      <c r="A5" s="10">
        <v>1</v>
      </c>
      <c r="B5" s="10" t="s">
        <v>22</v>
      </c>
      <c r="C5" s="11" t="s">
        <v>23</v>
      </c>
      <c r="D5" s="10"/>
      <c r="E5" s="11">
        <v>28800</v>
      </c>
      <c r="F5" s="11">
        <v>28800</v>
      </c>
      <c r="G5" s="10"/>
      <c r="H5" s="10"/>
      <c r="I5" s="11">
        <v>2</v>
      </c>
    </row>
    <row r="6" spans="1:9">
      <c r="A6" s="10">
        <v>2</v>
      </c>
      <c r="B6" s="10" t="s">
        <v>22</v>
      </c>
      <c r="C6" s="11" t="s">
        <v>23</v>
      </c>
      <c r="D6" s="10"/>
      <c r="E6" s="11">
        <v>27600</v>
      </c>
      <c r="F6" s="11">
        <v>55200</v>
      </c>
      <c r="G6" s="11" t="s">
        <v>24</v>
      </c>
      <c r="H6" s="11">
        <v>10800</v>
      </c>
      <c r="I6" s="11">
        <v>5</v>
      </c>
    </row>
    <row r="7" spans="1:9">
      <c r="A7" s="10">
        <v>3</v>
      </c>
      <c r="B7" s="10" t="s">
        <v>22</v>
      </c>
      <c r="C7" s="11" t="s">
        <v>23</v>
      </c>
      <c r="D7" s="10"/>
      <c r="E7" s="11">
        <v>25200</v>
      </c>
      <c r="F7" s="11">
        <v>50400</v>
      </c>
      <c r="G7" s="11" t="s">
        <v>25</v>
      </c>
      <c r="H7" s="11">
        <v>21600</v>
      </c>
      <c r="I7" s="11">
        <v>8</v>
      </c>
    </row>
    <row r="8" spans="1:9">
      <c r="A8" s="10">
        <v>4</v>
      </c>
      <c r="B8" s="10" t="s">
        <v>22</v>
      </c>
      <c r="C8" s="11" t="s">
        <v>23</v>
      </c>
      <c r="D8" s="10"/>
      <c r="E8" s="11">
        <v>24000</v>
      </c>
      <c r="F8" s="11">
        <v>72000</v>
      </c>
      <c r="G8" s="11" t="s">
        <v>26</v>
      </c>
      <c r="H8" s="11">
        <v>43200</v>
      </c>
      <c r="I8" s="11">
        <v>11</v>
      </c>
    </row>
    <row r="9" spans="1:9">
      <c r="A9" s="10">
        <v>5</v>
      </c>
      <c r="B9" s="10" t="s">
        <v>22</v>
      </c>
      <c r="C9" s="11" t="s">
        <v>23</v>
      </c>
      <c r="D9" s="10"/>
      <c r="E9" s="11">
        <v>21600</v>
      </c>
      <c r="F9" s="11">
        <v>64800</v>
      </c>
      <c r="G9" s="11" t="s">
        <v>27</v>
      </c>
      <c r="H9" s="11">
        <v>86400</v>
      </c>
      <c r="I9" s="11">
        <v>14</v>
      </c>
    </row>
    <row r="10" spans="1:9">
      <c r="A10" s="10">
        <v>6</v>
      </c>
      <c r="B10" s="10" t="s">
        <v>22</v>
      </c>
      <c r="C10" s="11" t="s">
        <v>23</v>
      </c>
      <c r="D10" s="10"/>
      <c r="E10" s="11">
        <v>20400</v>
      </c>
      <c r="F10" s="11">
        <v>81600</v>
      </c>
      <c r="G10" s="11" t="s">
        <v>28</v>
      </c>
      <c r="H10" s="11">
        <v>129600</v>
      </c>
      <c r="I10" s="11">
        <v>17</v>
      </c>
    </row>
    <row r="11" spans="1:9">
      <c r="A11" s="10">
        <v>7</v>
      </c>
      <c r="B11" s="10" t="s">
        <v>22</v>
      </c>
      <c r="C11" s="11" t="s">
        <v>23</v>
      </c>
      <c r="D11" s="10"/>
      <c r="E11" s="11">
        <v>18000</v>
      </c>
      <c r="F11" s="11">
        <v>72000</v>
      </c>
      <c r="G11" s="11" t="s">
        <v>29</v>
      </c>
      <c r="H11" s="11">
        <v>172800</v>
      </c>
      <c r="I11" s="11">
        <v>20</v>
      </c>
    </row>
    <row r="12" spans="1:9">
      <c r="A12" s="10">
        <v>8</v>
      </c>
      <c r="B12" s="10" t="s">
        <v>22</v>
      </c>
      <c r="C12" s="11" t="s">
        <v>23</v>
      </c>
      <c r="D12" s="10"/>
      <c r="E12" s="11">
        <v>16800</v>
      </c>
      <c r="F12" s="11">
        <v>84000</v>
      </c>
      <c r="G12" s="11" t="s">
        <v>30</v>
      </c>
      <c r="H12" s="11">
        <v>216000</v>
      </c>
      <c r="I12" s="11">
        <v>23</v>
      </c>
    </row>
    <row r="13" spans="1:9">
      <c r="A13" s="10">
        <v>9</v>
      </c>
      <c r="B13" s="10" t="s">
        <v>22</v>
      </c>
      <c r="C13" s="11" t="s">
        <v>23</v>
      </c>
      <c r="D13" s="10"/>
      <c r="E13" s="11">
        <v>14400</v>
      </c>
      <c r="F13" s="11">
        <v>72000</v>
      </c>
      <c r="G13" s="11" t="s">
        <v>31</v>
      </c>
      <c r="H13" s="11">
        <v>259200</v>
      </c>
      <c r="I13" s="11">
        <v>26</v>
      </c>
    </row>
    <row r="14" spans="1:9">
      <c r="A14" s="10">
        <v>10</v>
      </c>
      <c r="B14" s="10" t="s">
        <v>22</v>
      </c>
      <c r="C14" s="11" t="s">
        <v>23</v>
      </c>
      <c r="D14" s="10"/>
      <c r="E14" s="11">
        <v>13200</v>
      </c>
      <c r="F14" s="11">
        <v>79200</v>
      </c>
      <c r="G14" s="11" t="s">
        <v>32</v>
      </c>
      <c r="H14" s="11">
        <v>302400</v>
      </c>
      <c r="I14" s="11">
        <v>29</v>
      </c>
    </row>
    <row r="15" spans="1:9">
      <c r="A15" s="10">
        <v>11</v>
      </c>
      <c r="B15" s="10" t="s">
        <v>22</v>
      </c>
      <c r="C15" s="11" t="s">
        <v>23</v>
      </c>
      <c r="D15" s="10"/>
      <c r="E15" s="11">
        <v>10800</v>
      </c>
      <c r="F15" s="11">
        <v>64800</v>
      </c>
      <c r="G15" s="11" t="s">
        <v>33</v>
      </c>
      <c r="H15" s="11">
        <v>345600</v>
      </c>
      <c r="I15" s="11">
        <v>32</v>
      </c>
    </row>
    <row r="16" spans="1:9">
      <c r="A16" s="10">
        <v>12</v>
      </c>
      <c r="B16" s="10" t="s">
        <v>22</v>
      </c>
      <c r="C16" s="11" t="s">
        <v>23</v>
      </c>
      <c r="D16" s="10"/>
      <c r="E16" s="11">
        <v>9600</v>
      </c>
      <c r="F16" s="11">
        <v>67200</v>
      </c>
      <c r="G16" s="11" t="s">
        <v>34</v>
      </c>
      <c r="H16" s="11">
        <v>388800</v>
      </c>
      <c r="I16" s="11">
        <v>35</v>
      </c>
    </row>
    <row r="17" spans="1:9">
      <c r="A17" s="10">
        <v>13</v>
      </c>
      <c r="B17" s="10" t="s">
        <v>22</v>
      </c>
      <c r="C17" s="11" t="s">
        <v>23</v>
      </c>
      <c r="D17" s="10"/>
      <c r="E17" s="11">
        <v>7200</v>
      </c>
      <c r="F17" s="11">
        <v>50400</v>
      </c>
      <c r="G17" s="11" t="s">
        <v>35</v>
      </c>
      <c r="H17" s="11">
        <v>432000</v>
      </c>
      <c r="I17" s="11">
        <v>38</v>
      </c>
    </row>
    <row r="18" spans="1:9">
      <c r="A18" s="10">
        <v>14</v>
      </c>
      <c r="B18" s="10" t="s">
        <v>22</v>
      </c>
      <c r="C18" s="11" t="s">
        <v>23</v>
      </c>
      <c r="D18" s="10"/>
      <c r="E18" s="11">
        <v>6000</v>
      </c>
      <c r="F18" s="11">
        <v>48000</v>
      </c>
      <c r="G18" s="11" t="s">
        <v>36</v>
      </c>
      <c r="H18" s="11">
        <v>475200</v>
      </c>
      <c r="I18" s="11">
        <v>41</v>
      </c>
    </row>
    <row r="19" spans="1:9">
      <c r="A19" s="10">
        <v>15</v>
      </c>
      <c r="B19" s="10" t="s">
        <v>22</v>
      </c>
      <c r="C19" s="11" t="s">
        <v>23</v>
      </c>
      <c r="D19" s="10"/>
      <c r="E19" s="11">
        <v>3600</v>
      </c>
      <c r="F19" s="11">
        <v>28800</v>
      </c>
      <c r="G19" s="11" t="s">
        <v>37</v>
      </c>
      <c r="H19" s="11">
        <v>518400</v>
      </c>
      <c r="I19" s="11">
        <v>44</v>
      </c>
    </row>
  </sheetData>
  <conditionalFormatting sqref="C5">
    <cfRule type="expression" dxfId="0" priority="4">
      <formula>#REF!="100*1"</formula>
    </cfRule>
  </conditionalFormatting>
  <conditionalFormatting sqref="D5">
    <cfRule type="expression" dxfId="0" priority="3">
      <formula>#REF!="100*1"</formula>
    </cfRule>
  </conditionalFormatting>
  <conditionalFormatting sqref="E5">
    <cfRule type="expression" dxfId="0" priority="2">
      <formula>#REF!="100*1"</formula>
    </cfRule>
  </conditionalFormatting>
  <conditionalFormatting sqref="F5">
    <cfRule type="expression" dxfId="0" priority="1">
      <formula>#REF!="100*1"</formula>
    </cfRule>
  </conditionalFormatting>
  <conditionalFormatting sqref="C1:C4 C6:C19">
    <cfRule type="expression" dxfId="0" priority="6">
      <formula>#REF!="100*1"</formula>
    </cfRule>
  </conditionalFormatting>
  <conditionalFormatting sqref="D1:I4 G5:I5 I7 I9 I11 I13 I15 I17 I19">
    <cfRule type="expression" dxfId="0" priority="5">
      <formula>#REF!="100*1"</formula>
    </cfRule>
  </conditionalFormatting>
  <conditionalFormatting sqref="D7:G7 D9:G9 D11:G11 D13:G13 G19">
    <cfRule type="expression" dxfId="0" priority="18">
      <formula>#REF!="100*1"</formula>
    </cfRule>
  </conditionalFormatting>
  <conditionalFormatting sqref="D15:G15 D17:G17">
    <cfRule type="expression" dxfId="0" priority="11">
      <formula>#REF!="100*1"</formula>
    </cfRule>
  </conditionalFormatting>
  <conditionalFormatting sqref="C20:D1048576">
    <cfRule type="expression" dxfId="0" priority="27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7"/>
  <sheetViews>
    <sheetView zoomScale="130" zoomScaleNormal="130" workbookViewId="0">
      <selection activeCell="F16" sqref="F2:F16"/>
    </sheetView>
  </sheetViews>
  <sheetFormatPr defaultColWidth="8.66666666666667" defaultRowHeight="14" outlineLevelCol="7"/>
  <cols>
    <col min="3" max="3" width="12.775" customWidth="1"/>
    <col min="4" max="4" width="17.8833333333333" customWidth="1"/>
    <col min="5" max="5" width="22.775" customWidth="1"/>
    <col min="6" max="6" width="12.775" customWidth="1"/>
    <col min="7" max="7" width="11.4416666666667" customWidth="1"/>
    <col min="8" max="8" width="34.3333333333333" customWidth="1"/>
  </cols>
  <sheetData>
    <row r="1" spans="1:8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s="1">
        <v>1</v>
      </c>
      <c r="B2" s="1">
        <v>1</v>
      </c>
      <c r="C2" s="1">
        <v>480</v>
      </c>
      <c r="D2" s="1">
        <v>600</v>
      </c>
      <c r="E2" s="1">
        <f>C2*60</f>
        <v>28800</v>
      </c>
      <c r="F2" s="1">
        <f>C2*B2*60</f>
        <v>28800</v>
      </c>
      <c r="G2" s="1"/>
      <c r="H2" s="1"/>
    </row>
    <row r="3" spans="1:8">
      <c r="A3" s="1">
        <v>2</v>
      </c>
      <c r="B3" s="1">
        <v>2</v>
      </c>
      <c r="C3" s="1">
        <v>460</v>
      </c>
      <c r="D3" s="1">
        <v>626</v>
      </c>
      <c r="E3" s="1">
        <f t="shared" ref="E3:E16" si="0">C3*60</f>
        <v>27600</v>
      </c>
      <c r="F3" s="1">
        <f t="shared" ref="F3:F16" si="1">C3*B3*60</f>
        <v>55200</v>
      </c>
      <c r="G3" s="1"/>
      <c r="H3" s="1"/>
    </row>
    <row r="4" spans="1:8">
      <c r="A4" s="1">
        <v>3</v>
      </c>
      <c r="B4" s="1">
        <v>2</v>
      </c>
      <c r="C4" s="1">
        <v>420</v>
      </c>
      <c r="D4" s="1">
        <v>686</v>
      </c>
      <c r="E4" s="1">
        <f t="shared" si="0"/>
        <v>25200</v>
      </c>
      <c r="F4" s="1">
        <f t="shared" si="1"/>
        <v>50400</v>
      </c>
      <c r="G4" s="1"/>
      <c r="H4" s="1"/>
    </row>
    <row r="5" spans="1:8">
      <c r="A5" s="1">
        <v>4</v>
      </c>
      <c r="B5" s="1">
        <v>3</v>
      </c>
      <c r="C5" s="1">
        <v>400</v>
      </c>
      <c r="D5" s="1">
        <v>720</v>
      </c>
      <c r="E5" s="1">
        <f t="shared" si="0"/>
        <v>24000</v>
      </c>
      <c r="F5" s="1">
        <f t="shared" si="1"/>
        <v>72000</v>
      </c>
      <c r="G5" s="1"/>
      <c r="H5" s="1"/>
    </row>
    <row r="6" spans="1:8">
      <c r="A6" s="1">
        <v>5</v>
      </c>
      <c r="B6" s="1">
        <v>3</v>
      </c>
      <c r="C6" s="1">
        <v>360</v>
      </c>
      <c r="D6" s="1">
        <v>800</v>
      </c>
      <c r="E6" s="1">
        <f t="shared" si="0"/>
        <v>21600</v>
      </c>
      <c r="F6" s="1">
        <f t="shared" si="1"/>
        <v>64800</v>
      </c>
      <c r="G6" s="1"/>
      <c r="H6" s="1"/>
    </row>
    <row r="7" spans="1:8">
      <c r="A7" s="1">
        <v>6</v>
      </c>
      <c r="B7" s="1">
        <v>4</v>
      </c>
      <c r="C7" s="1">
        <v>340</v>
      </c>
      <c r="D7" s="1">
        <v>847</v>
      </c>
      <c r="E7" s="1">
        <f t="shared" si="0"/>
        <v>20400</v>
      </c>
      <c r="F7" s="1">
        <f t="shared" si="1"/>
        <v>81600</v>
      </c>
      <c r="G7" s="1"/>
      <c r="H7" s="1"/>
    </row>
    <row r="8" spans="1:8">
      <c r="A8" s="1">
        <v>7</v>
      </c>
      <c r="B8" s="1">
        <v>4</v>
      </c>
      <c r="C8" s="1">
        <v>300</v>
      </c>
      <c r="D8" s="1">
        <v>960</v>
      </c>
      <c r="E8" s="1">
        <f t="shared" si="0"/>
        <v>18000</v>
      </c>
      <c r="F8" s="1">
        <f t="shared" si="1"/>
        <v>72000</v>
      </c>
      <c r="G8" s="1"/>
      <c r="H8" s="1"/>
    </row>
    <row r="9" spans="1:8">
      <c r="A9" s="1">
        <v>8</v>
      </c>
      <c r="B9" s="1">
        <v>5</v>
      </c>
      <c r="C9" s="1">
        <v>280</v>
      </c>
      <c r="D9" s="1">
        <v>1029</v>
      </c>
      <c r="E9" s="1">
        <f t="shared" si="0"/>
        <v>16800</v>
      </c>
      <c r="F9" s="1">
        <f t="shared" si="1"/>
        <v>84000</v>
      </c>
      <c r="G9" s="1"/>
      <c r="H9" s="1"/>
    </row>
    <row r="10" spans="1:8">
      <c r="A10" s="1">
        <v>9</v>
      </c>
      <c r="B10" s="1">
        <v>5</v>
      </c>
      <c r="C10" s="1">
        <v>240</v>
      </c>
      <c r="D10" s="1">
        <v>1200</v>
      </c>
      <c r="E10" s="1">
        <f t="shared" si="0"/>
        <v>14400</v>
      </c>
      <c r="F10" s="1">
        <f t="shared" si="1"/>
        <v>72000</v>
      </c>
      <c r="G10" s="1"/>
      <c r="H10" s="1"/>
    </row>
    <row r="11" spans="1:8">
      <c r="A11" s="1">
        <v>10</v>
      </c>
      <c r="B11" s="1">
        <v>6</v>
      </c>
      <c r="C11" s="1">
        <v>220</v>
      </c>
      <c r="D11" s="1">
        <v>1309</v>
      </c>
      <c r="E11" s="1">
        <f t="shared" si="0"/>
        <v>13200</v>
      </c>
      <c r="F11" s="1">
        <f t="shared" si="1"/>
        <v>79200</v>
      </c>
      <c r="G11" s="1"/>
      <c r="H11" s="1"/>
    </row>
    <row r="12" spans="1:8">
      <c r="A12" s="1">
        <v>11</v>
      </c>
      <c r="B12" s="1">
        <v>6</v>
      </c>
      <c r="C12" s="1">
        <v>180</v>
      </c>
      <c r="D12" s="1">
        <v>1600</v>
      </c>
      <c r="E12" s="1">
        <f t="shared" si="0"/>
        <v>10800</v>
      </c>
      <c r="F12" s="1">
        <f t="shared" si="1"/>
        <v>64800</v>
      </c>
      <c r="G12" s="1"/>
      <c r="H12" s="1"/>
    </row>
    <row r="13" spans="1:8">
      <c r="A13" s="1">
        <v>12</v>
      </c>
      <c r="B13" s="1">
        <v>7</v>
      </c>
      <c r="C13" s="1">
        <v>160</v>
      </c>
      <c r="D13" s="1">
        <v>1800</v>
      </c>
      <c r="E13" s="1">
        <f t="shared" si="0"/>
        <v>9600</v>
      </c>
      <c r="F13" s="1">
        <f t="shared" si="1"/>
        <v>67200</v>
      </c>
      <c r="G13" s="1"/>
      <c r="H13" s="1"/>
    </row>
    <row r="14" spans="1:8">
      <c r="A14" s="1">
        <v>13</v>
      </c>
      <c r="B14" s="1">
        <v>7</v>
      </c>
      <c r="C14" s="1">
        <v>120</v>
      </c>
      <c r="D14" s="1">
        <v>2400</v>
      </c>
      <c r="E14" s="1">
        <f t="shared" si="0"/>
        <v>7200</v>
      </c>
      <c r="F14" s="1">
        <f t="shared" si="1"/>
        <v>50400</v>
      </c>
      <c r="G14" s="1"/>
      <c r="H14" s="1"/>
    </row>
    <row r="15" spans="1:8">
      <c r="A15" s="1">
        <v>14</v>
      </c>
      <c r="B15" s="1">
        <v>8</v>
      </c>
      <c r="C15" s="1">
        <v>100</v>
      </c>
      <c r="D15" s="1">
        <v>2880</v>
      </c>
      <c r="E15" s="1">
        <f t="shared" si="0"/>
        <v>6000</v>
      </c>
      <c r="F15" s="1">
        <f t="shared" si="1"/>
        <v>48000</v>
      </c>
      <c r="G15" s="1"/>
      <c r="H15" s="1"/>
    </row>
    <row r="16" spans="1:8">
      <c r="A16" s="1">
        <v>15</v>
      </c>
      <c r="B16" s="1">
        <v>8</v>
      </c>
      <c r="C16" s="1">
        <v>60</v>
      </c>
      <c r="D16" s="1">
        <v>4800</v>
      </c>
      <c r="E16" s="1">
        <f t="shared" si="0"/>
        <v>3600</v>
      </c>
      <c r="F16" s="1">
        <f t="shared" si="1"/>
        <v>28800</v>
      </c>
      <c r="G16" s="1"/>
      <c r="H16" s="1"/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2024-05-27T07:21:47Z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