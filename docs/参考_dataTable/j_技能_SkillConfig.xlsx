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AIConfig" sheetId="2" r:id="rId1"/>
    <sheet name="Sheet2" sheetId="4" r:id="rId2"/>
  </sheets>
  <definedNames>
    <definedName name="_xlnm._FilterDatabase" localSheetId="0" hidden="1">AIConfig!$A$1:$T$77</definedName>
  </definedNames>
  <calcPr calcId="144525"/>
</workbook>
</file>

<file path=xl/comments1.xml><?xml version="1.0" encoding="utf-8"?>
<comments xmlns="http://schemas.openxmlformats.org/spreadsheetml/2006/main">
  <authors>
    <author>hongd</author>
  </authors>
  <commentList>
    <comment ref="I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通过拉伸预制体：Tran_SkillRange 获得打印数据</t>
        </r>
      </text>
    </comment>
    <comment ref="O1" authorId="0">
      <text>
        <r>
          <rPr>
            <sz val="9"/>
            <rFont val="宋体"/>
            <charset val="134"/>
          </rPr>
          <t>https://docs.qq.com/sheet/DVXdFdVdkTEVtSWJm?tab=BB08J2</t>
        </r>
      </text>
    </comment>
  </commentList>
</comments>
</file>

<file path=xl/sharedStrings.xml><?xml version="1.0" encoding="utf-8"?>
<sst xmlns="http://schemas.openxmlformats.org/spreadsheetml/2006/main" count="582" uniqueCount="332">
  <si>
    <t>技能id</t>
  </si>
  <si>
    <t>技能名称</t>
  </si>
  <si>
    <t>技能类型</t>
  </si>
  <si>
    <t>施法音效</t>
  </si>
  <si>
    <t>命中特效</t>
  </si>
  <si>
    <t>怪物子弹特效</t>
  </si>
  <si>
    <t>怪物子弹轨迹(1直线,2抛物线)</t>
  </si>
  <si>
    <t>命中音效</t>
  </si>
  <si>
    <t>技能目标范围(放大100倍)</t>
  </si>
  <si>
    <t>目标数</t>
  </si>
  <si>
    <t>动作名称</t>
  </si>
  <si>
    <t>前摇(毫秒)</t>
  </si>
  <si>
    <t>动作总耗时(毫秒)</t>
  </si>
  <si>
    <t>技能CD</t>
  </si>
  <si>
    <t>技能参数</t>
  </si>
  <si>
    <t>目标附加Buff</t>
  </si>
  <si>
    <t>技能初始Buff</t>
  </si>
  <si>
    <t>技能系数</t>
  </si>
  <si>
    <t>技能图标</t>
  </si>
  <si>
    <t>技能描述</t>
  </si>
  <si>
    <t>int</t>
  </si>
  <si>
    <t>string</t>
  </si>
  <si>
    <t>int[]</t>
  </si>
  <si>
    <t>lang</t>
  </si>
  <si>
    <t>Id</t>
  </si>
  <si>
    <t>skill_name</t>
  </si>
  <si>
    <t>skill_type</t>
  </si>
  <si>
    <t>skill_startSound</t>
  </si>
  <si>
    <t>skill_hitEffect</t>
  </si>
  <si>
    <t>monsterBullet</t>
  </si>
  <si>
    <t>monsterBulletMoveType</t>
  </si>
  <si>
    <t>skill_hitSound</t>
  </si>
  <si>
    <t>skill_range</t>
  </si>
  <si>
    <t>skill_targetCount</t>
  </si>
  <si>
    <t>action_name</t>
  </si>
  <si>
    <t>skill_hitTime</t>
  </si>
  <si>
    <t>skill_totalTime</t>
  </si>
  <si>
    <t>skill_cd</t>
  </si>
  <si>
    <t>skill_para</t>
  </si>
  <si>
    <t>skill_targetBuff</t>
  </si>
  <si>
    <t>skill_initBuff</t>
  </si>
  <si>
    <t>dmg</t>
  </si>
  <si>
    <t>skill_Icon</t>
  </si>
  <si>
    <t>skill_desc</t>
  </si>
  <si>
    <t>迅箭</t>
  </si>
  <si>
    <t>gongjian</t>
  </si>
  <si>
    <t>Effect_baodian_guang</t>
  </si>
  <si>
    <t>battle1_hit</t>
  </si>
  <si>
    <t>Attack</t>
  </si>
  <si>
    <t>101;1</t>
  </si>
  <si>
    <t>jn_icon_20001</t>
  </si>
  <si>
    <t>对首个触碰到的怪物造成伤害，升级后可穿透多个怪物。</t>
  </si>
  <si>
    <t>火球</t>
  </si>
  <si>
    <t>102_atk</t>
  </si>
  <si>
    <t>Effect_Baodian_huo</t>
  </si>
  <si>
    <t>102_hit</t>
  </si>
  <si>
    <t>201;1</t>
  </si>
  <si>
    <t>20101;20102</t>
  </si>
  <si>
    <t>jn_icon_20101</t>
  </si>
  <si>
    <t>对首个触碰到的怪物造成伤害，并产生小范围爆炸伤害，附带击退效果。</t>
  </si>
  <si>
    <t>冰锥</t>
  </si>
  <si>
    <t>103_atk</t>
  </si>
  <si>
    <t>Effect_baodian_bing</t>
  </si>
  <si>
    <t>103_hit</t>
  </si>
  <si>
    <t>301;1</t>
  </si>
  <si>
    <t>jn_icon_20201</t>
  </si>
  <si>
    <t>能穿透多个怪物造成伤害，附带微弱击退效果。</t>
  </si>
  <si>
    <t>雷击</t>
  </si>
  <si>
    <t>104_atk_hit</t>
  </si>
  <si>
    <t>Effect_shandian</t>
  </si>
  <si>
    <t>20302;20327</t>
  </si>
  <si>
    <t>jn_icon_20301</t>
  </si>
  <si>
    <t>对命中怪物造成伤害，并产生小范围溅射伤害，附带麻痹效果。</t>
  </si>
  <si>
    <t>滚木</t>
  </si>
  <si>
    <t>105_atk_loop</t>
  </si>
  <si>
    <t>105_hit</t>
  </si>
  <si>
    <t>401;1</t>
  </si>
  <si>
    <t>20401;20402</t>
  </si>
  <si>
    <t>jn_icon_20401</t>
  </si>
  <si>
    <t>对路径上触碰的所有怪物造成伤害，附带击退和减速效果。</t>
  </si>
  <si>
    <t>脉冲</t>
  </si>
  <si>
    <t>106_atk</t>
  </si>
  <si>
    <t>Effect_Baodian_dian</t>
  </si>
  <si>
    <t>106_hit</t>
  </si>
  <si>
    <t>501;1</t>
  </si>
  <si>
    <t>jn_icon_20501</t>
  </si>
  <si>
    <t>对路径上的怪物造成连续多段伤害；技能结束后才进入冷却。</t>
  </si>
  <si>
    <t>聚焦</t>
  </si>
  <si>
    <t>107_atk</t>
  </si>
  <si>
    <t>Effect_jujiao_baodian</t>
  </si>
  <si>
    <t>601;1</t>
  </si>
  <si>
    <t>jn_icon_20601</t>
  </si>
  <si>
    <t>锁定一名怪物造成持续高频伤害，杀死怪物后会转移至其他目标；技能结束后才进入冷却。</t>
  </si>
  <si>
    <t>冰刺</t>
  </si>
  <si>
    <t>bingxi</t>
  </si>
  <si>
    <t>500*5</t>
  </si>
  <si>
    <t>20701;20726</t>
  </si>
  <si>
    <t>jn_icon_20701</t>
  </si>
  <si>
    <t>对范围内怪物造成伤害，附带冻结效果和持续伤害。</t>
  </si>
  <si>
    <t>闪电链</t>
  </si>
  <si>
    <t>109_atk_hit</t>
  </si>
  <si>
    <t>801;1</t>
  </si>
  <si>
    <t>jn_icon_20801</t>
  </si>
  <si>
    <t>对数名怪物造成多段伤害。</t>
  </si>
  <si>
    <t>地震</t>
  </si>
  <si>
    <t>diaoluo</t>
  </si>
  <si>
    <t>901;1</t>
  </si>
  <si>
    <t>jn_icon_20901</t>
  </si>
  <si>
    <t>对怪物地面位置产生地震,进入地震范围的怪物会受到伤害和眩晕。</t>
  </si>
  <si>
    <t>龙卷风</t>
  </si>
  <si>
    <t>longjianfeng</t>
  </si>
  <si>
    <t>Effect_Baodian_feng</t>
  </si>
  <si>
    <t>1001;1</t>
  </si>
  <si>
    <t>jn_icon_21001</t>
  </si>
  <si>
    <t>持续对范围内怪物造成伤害并附带牵引效果；技能结束后才进入冷却</t>
  </si>
  <si>
    <t>电磁网</t>
  </si>
  <si>
    <t>dianci_strong</t>
  </si>
  <si>
    <t>1101;1</t>
  </si>
  <si>
    <t>jn_icon_21101</t>
  </si>
  <si>
    <t>对近距离扇形区域内怪物造成多段伤害，附带麻痹效果。</t>
  </si>
  <si>
    <t>榴弹</t>
  </si>
  <si>
    <t>113_atk</t>
  </si>
  <si>
    <t>113_hit</t>
  </si>
  <si>
    <t>1201*1</t>
  </si>
  <si>
    <t>jn_icon_21201</t>
  </si>
  <si>
    <t>落地后对范围内怪物造成伤害。</t>
  </si>
  <si>
    <t>飓风术</t>
  </si>
  <si>
    <t>114_atk_hit</t>
  </si>
  <si>
    <t>1301;1</t>
  </si>
  <si>
    <t>jn_icon_21301</t>
  </si>
  <si>
    <t>能穿透多个怪物造成伤害,并附带击退效果。</t>
  </si>
  <si>
    <t>闪电球</t>
  </si>
  <si>
    <t>115_atk_loop</t>
  </si>
  <si>
    <t>115_hit</t>
  </si>
  <si>
    <t>1401;1</t>
  </si>
  <si>
    <t>jn_icon_21401</t>
  </si>
  <si>
    <t>持续对一定范围内的怪物造成伤害，附带短暂麻痹效果；技能结束后才进入冷却。</t>
  </si>
  <si>
    <t>小怪攻击</t>
  </si>
  <si>
    <t>monster_hit</t>
  </si>
  <si>
    <t>小怪远程攻击</t>
  </si>
  <si>
    <t>huoqiu</t>
  </si>
  <si>
    <t>Bullet_monster_elite_113</t>
  </si>
  <si>
    <t>2*150</t>
  </si>
  <si>
    <t>bullet_hit</t>
  </si>
  <si>
    <t>Bullet_monster_common_113</t>
  </si>
  <si>
    <t>宠物迅箭</t>
  </si>
  <si>
    <t>10001;1</t>
  </si>
  <si>
    <t>1_1</t>
  </si>
  <si>
    <t>释放1次迅箭，造成&lt;color=#FFDC00&gt;60%&lt;/color&gt;伤害集火加成</t>
  </si>
  <si>
    <t>宠物火球</t>
  </si>
  <si>
    <t>10201;1</t>
  </si>
  <si>
    <t>62001;62002</t>
  </si>
  <si>
    <t>2_1</t>
  </si>
  <si>
    <t>释放1个火球，造成&lt;color=#FFDC00&gt;125%&lt;/color&gt;伤害</t>
  </si>
  <si>
    <t>宠物冰锥</t>
  </si>
  <si>
    <t>10301;1</t>
  </si>
  <si>
    <t>3_1</t>
  </si>
  <si>
    <t>释放1枚冰棱，造成&lt;color=#FFDC00&gt;60%&lt;/color&gt;伤害</t>
  </si>
  <si>
    <t>宠物雷击</t>
  </si>
  <si>
    <t>shandian_1</t>
  </si>
  <si>
    <t>62004;62005</t>
  </si>
  <si>
    <t>4_1</t>
  </si>
  <si>
    <t>释放1次雷击，造成&lt;color=#FFDC00&gt;125%&lt;/color&gt;伤害，附带麻痹效果</t>
  </si>
  <si>
    <t>宠物滚木</t>
  </si>
  <si>
    <t>gunmu</t>
  </si>
  <si>
    <t>10401;1</t>
  </si>
  <si>
    <t>62006;62007</t>
  </si>
  <si>
    <t>60401;60407</t>
  </si>
  <si>
    <t>5_1</t>
  </si>
  <si>
    <t>释放1次滚木，造成&lt;color=#FFDC00&gt;75%&lt;/color&gt;伤害，滚木附带&lt;color=#FFDC00&gt;4&lt;/color&gt;秒减速效果</t>
  </si>
  <si>
    <t>宠物脉冲</t>
  </si>
  <si>
    <t>maichong2</t>
  </si>
  <si>
    <t>10501;1</t>
  </si>
  <si>
    <t>6_1</t>
  </si>
  <si>
    <t>释放1次脉冲激光，造成&lt;color=#FFDC00&gt;60%&lt;/color&gt;伤害</t>
  </si>
  <si>
    <t>宠物聚焦</t>
  </si>
  <si>
    <t>jujiao</t>
  </si>
  <si>
    <t>10601;1</t>
  </si>
  <si>
    <t>7_1</t>
  </si>
  <si>
    <t>释放聚焦激光，造成&lt;color=#FFDC00&gt;65%&lt;/color&gt;伤害</t>
  </si>
  <si>
    <t>宠物冰刺</t>
  </si>
  <si>
    <t>62009;62010</t>
  </si>
  <si>
    <t>8_1</t>
  </si>
  <si>
    <t>释放冰霜新星并冰冻目标，造成&lt;color=#FFDC00&gt;40%&lt;/color&gt;技能伤害</t>
  </si>
  <si>
    <t>宠物闪电链</t>
  </si>
  <si>
    <t>shandianlian</t>
  </si>
  <si>
    <t>10801;1</t>
  </si>
  <si>
    <t>9_1</t>
  </si>
  <si>
    <t>释放1次闪电链，造成&lt;color=#FFDC00&gt;75%&lt;/color&gt;伤害</t>
  </si>
  <si>
    <t>宠物地震</t>
  </si>
  <si>
    <t>10901;1</t>
  </si>
  <si>
    <t>10_1</t>
  </si>
  <si>
    <t>释放1次陨石，造成&lt;color=#FFDC00&gt;175%&lt;/color&gt;伤害</t>
  </si>
  <si>
    <t>宠物龙卷风</t>
  </si>
  <si>
    <t>11001;1</t>
  </si>
  <si>
    <t>61001;61002</t>
  </si>
  <si>
    <t>11_1</t>
  </si>
  <si>
    <t>释放一道无法移动的小型旋风，造成&lt;color=#FFDC00&gt;25%&lt;/color&gt;伤害</t>
  </si>
  <si>
    <t>宠物电磁网</t>
  </si>
  <si>
    <t>11101;1</t>
  </si>
  <si>
    <t>12_1</t>
  </si>
  <si>
    <t>释放1次电网，造成&lt;color=#FFDC00&gt;120%&lt;/color&gt;伤害</t>
  </si>
  <si>
    <t>宠物榴弹</t>
  </si>
  <si>
    <t>huoqiu_baozha</t>
  </si>
  <si>
    <t>11201*1</t>
  </si>
  <si>
    <t>13_1</t>
  </si>
  <si>
    <t>投掷一颗炸弹，造成&lt;color=#FFDC00&gt;100%&lt;/color&gt;伤害</t>
  </si>
  <si>
    <t>宠物飓风术</t>
  </si>
  <si>
    <t>11301;1</t>
  </si>
  <si>
    <t>14_1</t>
  </si>
  <si>
    <t>释放1道飓风，造成&lt;color=#FFDC00&gt;75%&lt;/color&gt;伤害</t>
  </si>
  <si>
    <t>宠物闪电球</t>
  </si>
  <si>
    <t>shandianqiu_att</t>
  </si>
  <si>
    <t>11401;1</t>
  </si>
  <si>
    <t>15_1</t>
  </si>
  <si>
    <t>操控闪电球，对碰触到的怪物造成&lt;color=#FFDC00&gt;40%&lt;/color&gt;伤害</t>
  </si>
  <si>
    <t>城墙1阶奥能光墙</t>
  </si>
  <si>
    <t>21501;1</t>
  </si>
  <si>
    <t>在城墙下生成1道奥能光墙</t>
  </si>
  <si>
    <t>城墙2阶奥能光墙</t>
  </si>
  <si>
    <t>在城墙下生成1道奥能光墙，伤害+50%</t>
  </si>
  <si>
    <t>城墙3阶奥能光墙</t>
  </si>
  <si>
    <t>21501;2</t>
  </si>
  <si>
    <t>在城墙下生成2道奥能光墙</t>
  </si>
  <si>
    <t>城墙4阶奥能光墙</t>
  </si>
  <si>
    <t>21501;3</t>
  </si>
  <si>
    <t>在城墙下生成3道奥能光墙</t>
  </si>
  <si>
    <t>城墙1阶奥能扫射</t>
  </si>
  <si>
    <t>21502;1</t>
  </si>
  <si>
    <t>1阶:怪物靠近城墙时时，释放1次奥能扫射，冷却60秒, 等级要求: 15,</t>
  </si>
  <si>
    <t>城墙2阶奥能扫射</t>
  </si>
  <si>
    <t>2阶:怪物靠近城墙时时，释放1次奥能扫射，伤害+50%，冷却60秒, 等级要求: 35</t>
  </si>
  <si>
    <t>城墙3阶奥能扫射</t>
  </si>
  <si>
    <t>21502;2</t>
  </si>
  <si>
    <t>3阶:怪物靠近城墙时时，释放2次奥能扫射，伤害+50%，冷却60秒, 等级要求: 55</t>
  </si>
  <si>
    <t>城墙4阶奥能扫射</t>
  </si>
  <si>
    <t>4阶:怪物靠近城墙时时，释放2次奥能扫射，伤害+50%，冷却45秒, 等级要求: 90</t>
  </si>
  <si>
    <t>城墙1阶火焰滚木</t>
  </si>
  <si>
    <t>20402;4</t>
  </si>
  <si>
    <t>20401;20402;40101</t>
  </si>
  <si>
    <t>1阶: 怪物靠近城墙时释放一排火焰滚木, 等级要求: 15</t>
  </si>
  <si>
    <t>城墙2阶火焰滚木</t>
  </si>
  <si>
    <t>20401;20402;40101;40102</t>
  </si>
  <si>
    <t>2阶:怪物靠近城墙时释放一排火焰滚木，造成的燃烧时间+2秒, 等级要求: 35</t>
  </si>
  <si>
    <t>城墙3阶火焰滚木</t>
  </si>
  <si>
    <t>20401;20402;40101;40103</t>
  </si>
  <si>
    <t>3阶:怪物靠近城墙时释放一排火焰滚木，造成的燃烧时间+4秒, 等级要求: 55</t>
  </si>
  <si>
    <t>城墙4阶火焰滚木</t>
  </si>
  <si>
    <t>20401;20402;40101;40104</t>
  </si>
  <si>
    <t>4阶:怪物靠近城墙时释放一排火焰滚木，造成的燃烧时间+6秒, 等级要求: 90</t>
  </si>
  <si>
    <t>城墙1阶冰刺</t>
  </si>
  <si>
    <t>20701;20726;20005</t>
  </si>
  <si>
    <t xml:space="preserve">1阶:怪物靠近城墙时，释放2次冰霜新星，冷却60秒, 等级要求: 15, </t>
  </si>
  <si>
    <t>城墙2阶冰刺</t>
  </si>
  <si>
    <t xml:space="preserve">2阶:怪物靠近城墙时，释放2次冰霜新星，伤害+50%，冷却60秒, 等级要求: 35 </t>
  </si>
  <si>
    <t>城墙3阶冰刺</t>
  </si>
  <si>
    <t>3阶:怪物靠近城墙时，释放4次冰霜新星，伤害+50%，冷却60秒, 等级要求: 55</t>
  </si>
  <si>
    <t>城墙4阶冰刺</t>
  </si>
  <si>
    <t>20701;20726;20005;20005;20005</t>
  </si>
  <si>
    <t>4阶:怪物靠近城墙时，释放4次冰霜新星，伤害+50%，冷却45秒, 等级要求: 90</t>
  </si>
  <si>
    <t>城墙1阶闪电链</t>
  </si>
  <si>
    <t>20801;1</t>
  </si>
  <si>
    <t>1阶: 生成1道闪电链，经过时触发伤害，并有5%概率麻痹, 等级要求: 10</t>
  </si>
  <si>
    <t>城墙2阶闪电链</t>
  </si>
  <si>
    <t>2阶: 生成1道闪电链，经过时触发伤害，伤害+50%，并有5%概率麻痹, 等级要求: 30</t>
  </si>
  <si>
    <t>城墙3阶闪电链</t>
  </si>
  <si>
    <t>20801;2</t>
  </si>
  <si>
    <t>3阶: 生成2道闪电链，经过时触发伤害，伤害+50%，并有5%概率麻痹, 等级要求: 50</t>
  </si>
  <si>
    <t>城墙4阶闪电链</t>
  </si>
  <si>
    <t xml:space="preserve"> 4阶:生成2道闪电链，经过时触发伤害，伤害+50%，并有10%概率麻痹, 等级要求: 80</t>
  </si>
  <si>
    <t>城墙1阶雷击</t>
  </si>
  <si>
    <t>1阶: 怪物靠近城墙时，释放1次雷霆冲击，冷却60秒, 等级要求: 15</t>
  </si>
  <si>
    <t>城墙2阶雷击</t>
  </si>
  <si>
    <t>2阶: 怪物靠近城墙时，释放1次雷霆冲击，伤害+50%，冷却60秒, 等级要求: 35</t>
  </si>
  <si>
    <t>城墙3阶雷击</t>
  </si>
  <si>
    <t>3阶: 怪物靠近城墙时，释放1次雷霆冲击，伤害+100%，冷却60秒, 等级要求: 55</t>
  </si>
  <si>
    <t>城墙4阶雷击</t>
  </si>
  <si>
    <t>4阶: 怪物靠近城墙时，释放1次雷霆冲击，伤害+100%，冷却45秒, 等级要求: 90</t>
  </si>
  <si>
    <t>城墙1阶榴弹</t>
  </si>
  <si>
    <t>21201*5</t>
  </si>
  <si>
    <t xml:space="preserve">1阶: 怪物靠近城墙后，投掷1排榴弹，冷却40秒, 等级要求: 15 </t>
  </si>
  <si>
    <t>城墙2阶榴弹</t>
  </si>
  <si>
    <t>2阶: 怪物靠近城墙后，投掷1排榴弹，伤害+50%，冷却40秒, 等级要求: 35</t>
  </si>
  <si>
    <t>城墙3阶榴弹</t>
  </si>
  <si>
    <t>3阶: 怪物靠近城墙后，投掷1排榴弹，伤害+50%，附加2秒燃烧，冷却40秒, 等级要求: 55</t>
  </si>
  <si>
    <t>城墙4阶榴弹</t>
  </si>
  <si>
    <t>4阶: 怪物靠近城墙后，投掷1排榴弹，伤害+50%，附加2秒燃烧，冷却30秒, 等级要求: 90</t>
  </si>
  <si>
    <t>城墙1阶小型龙卷风</t>
  </si>
  <si>
    <t>21001;2</t>
  </si>
  <si>
    <t>1阶: 怪物靠近城墙时，释放2个小型龙卷风，冷却60秒, 等级要求: 15</t>
  </si>
  <si>
    <t>城墙2阶小型龙卷风</t>
  </si>
  <si>
    <t>2阶: 怪物靠近城墙时，释放2个小型龙卷风，伤害+50%，冷却60秒, 等级要求: 35</t>
  </si>
  <si>
    <t>城墙3阶小型龙卷风</t>
  </si>
  <si>
    <t>3阶: 怪物靠近城墙时，释放4个小型龙卷风，伤害+50%，冷却60秒, 等级要求: 55</t>
  </si>
  <si>
    <t>城墙4阶小型龙卷风</t>
  </si>
  <si>
    <t>4阶: 怪物靠近城墙时，释放4个小型龙卷风，伤害+50%，冷却45秒, 等级要求: 90</t>
  </si>
  <si>
    <t>城墙1阶火墙</t>
  </si>
  <si>
    <t>21601;1</t>
  </si>
  <si>
    <t>1阶:在城墙下燃起1道火墙, 等级要求: 10</t>
  </si>
  <si>
    <t>城墙2阶火墙</t>
  </si>
  <si>
    <t>2阶: 在城墙下燃起1道火墙，伤害+50%, 等级要求: 30</t>
  </si>
  <si>
    <t>城墙3阶火墙</t>
  </si>
  <si>
    <t>21601;2</t>
  </si>
  <si>
    <t>3阶:在城墙下燃起2道火墙, 等级要求: 50</t>
  </si>
  <si>
    <t>城墙4阶火墙</t>
  </si>
  <si>
    <t>4阶:在城墙下燃起2道火墙，火墙宽度+30%, 等级要求: 80</t>
  </si>
  <si>
    <t>城墙1阶地雷</t>
  </si>
  <si>
    <t>21701;10</t>
  </si>
  <si>
    <t>1阶: 关卡开始时在战场上布置大威力地雷，冷却160秒, 等级要求: 10</t>
  </si>
  <si>
    <t>城墙2阶地雷</t>
  </si>
  <si>
    <t>2阶: 关卡开始时在战场上布置大威力地雷，伤害+50%，冷却160秒, 等级要求: 30</t>
  </si>
  <si>
    <t>城墙3阶地雷</t>
  </si>
  <si>
    <t>21702;10</t>
  </si>
  <si>
    <t>3阶: 关卡开始时在战场上布置大威力地雷，伤害+50%，冷却120秒, 等级要求: 50</t>
  </si>
  <si>
    <t>城墙4阶地雷</t>
  </si>
  <si>
    <t>21703;10</t>
  </si>
  <si>
    <t>4阶: 关卡开始时在战场上布置大威力地雷，伤害+50%，冷却80秒, 等级要求: 80</t>
  </si>
  <si>
    <t>范围伤害系数</t>
  </si>
  <si>
    <t>火焰女王</t>
  </si>
  <si>
    <t>基础</t>
  </si>
  <si>
    <t>升级</t>
  </si>
  <si>
    <t>雷电之王</t>
  </si>
  <si>
    <t>11级</t>
  </si>
  <si>
    <t>？级</t>
  </si>
  <si>
    <t>扭曲树卫</t>
  </si>
  <si>
    <t>冷却</t>
  </si>
  <si>
    <t>穿透次数</t>
  </si>
  <si>
    <t>伤害范围</t>
  </si>
  <si>
    <t>伤害次数</t>
  </si>
  <si>
    <t>弹射次数</t>
  </si>
  <si>
    <t>范围伤害=</t>
  </si>
  <si>
    <t>城主攻击力*0.08*升级系数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</si>
</sst>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Microsoft YaHei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1" fillId="0" borderId="1" xfId="0" applyNumberFormat="1" applyFont="1" applyBorder="1" applyAlignment="1"/>
    <xf numFmtId="0" fontId="1" fillId="0" borderId="1" xfId="0" applyNumberFormat="1" applyFont="1" applyBorder="1" applyAlignment="1">
      <alignment wrapText="1"/>
    </xf>
    <xf numFmtId="0" fontId="1" fillId="4" borderId="1" xfId="0" applyNumberFormat="1" applyFont="1" applyFill="1" applyBorder="1" applyAlignment="1"/>
    <xf numFmtId="0" fontId="1" fillId="7" borderId="2" xfId="0" applyFont="1" applyFill="1" applyBorder="1" applyAlignment="1">
      <alignment horizontal="center"/>
    </xf>
    <xf numFmtId="0" fontId="1" fillId="0" borderId="2" xfId="0" applyNumberFormat="1" applyFont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77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16.5"/>
  <cols>
    <col min="1" max="1" width="9.10833333333333" style="4"/>
    <col min="2" max="2" width="24.8833333333333" style="4" customWidth="1"/>
    <col min="3" max="4" width="15" style="4" customWidth="1"/>
    <col min="5" max="5" width="21.3333333333333" style="4" customWidth="1"/>
    <col min="6" max="6" width="28" style="4" customWidth="1"/>
    <col min="7" max="7" width="28.625" style="4" customWidth="1"/>
    <col min="8" max="8" width="21.3333333333333" style="4" customWidth="1"/>
    <col min="9" max="9" width="24" style="4" customWidth="1"/>
    <col min="10" max="11" width="20.1083333333333" style="4" customWidth="1"/>
    <col min="12" max="12" width="15" style="4" customWidth="1"/>
    <col min="13" max="13" width="16.775" style="4" customWidth="1"/>
    <col min="14" max="14" width="14.775" style="4" customWidth="1"/>
    <col min="15" max="15" width="19.775" style="4" customWidth="1"/>
    <col min="16" max="16" width="32.75" style="4" customWidth="1"/>
    <col min="17" max="17" width="16.4416666666667" style="4" customWidth="1"/>
    <col min="18" max="18" width="8.88333333333333" style="4" customWidth="1"/>
    <col min="19" max="19" width="14.8833333333333" style="4" customWidth="1"/>
    <col min="20" max="20" width="78.875" style="5" customWidth="1"/>
    <col min="21" max="21" width="2" style="6" customWidth="1"/>
    <col min="22" max="22" width="9" style="7"/>
    <col min="23" max="23" width="9" style="4"/>
    <col min="24" max="24" width="15" style="4" customWidth="1"/>
    <col min="25" max="16384" width="9" style="4"/>
  </cols>
  <sheetData>
    <row r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 s="9" t="s">
        <v>20</v>
      </c>
      <c r="B2" s="9" t="s">
        <v>21</v>
      </c>
      <c r="C2" s="9" t="s">
        <v>20</v>
      </c>
      <c r="D2" s="9" t="s">
        <v>21</v>
      </c>
      <c r="E2" s="9" t="s">
        <v>21</v>
      </c>
      <c r="F2" s="9" t="s">
        <v>21</v>
      </c>
      <c r="G2" s="9" t="s">
        <v>22</v>
      </c>
      <c r="H2" s="9" t="s">
        <v>21</v>
      </c>
      <c r="I2" s="9" t="s">
        <v>20</v>
      </c>
      <c r="J2" s="9" t="s">
        <v>20</v>
      </c>
      <c r="K2" s="9" t="s">
        <v>21</v>
      </c>
      <c r="L2" s="9" t="s">
        <v>20</v>
      </c>
      <c r="M2" s="9" t="s">
        <v>20</v>
      </c>
      <c r="N2" s="9" t="s">
        <v>20</v>
      </c>
      <c r="O2" s="9" t="s">
        <v>22</v>
      </c>
      <c r="P2" s="9" t="s">
        <v>22</v>
      </c>
      <c r="Q2" s="9" t="s">
        <v>22</v>
      </c>
      <c r="R2" s="9" t="s">
        <v>20</v>
      </c>
      <c r="S2" s="9" t="s">
        <v>21</v>
      </c>
      <c r="T2" s="9" t="s">
        <v>21</v>
      </c>
    </row>
    <row r="3" spans="1:20">
      <c r="A3" s="10"/>
      <c r="B3" s="10" t="s">
        <v>23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23</v>
      </c>
    </row>
    <row r="4" ht="42" customHeight="1" spans="1:20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38</v>
      </c>
      <c r="P4" s="11" t="s">
        <v>39</v>
      </c>
      <c r="Q4" s="11" t="s">
        <v>40</v>
      </c>
      <c r="R4" s="11" t="s">
        <v>41</v>
      </c>
      <c r="S4" s="11" t="s">
        <v>42</v>
      </c>
      <c r="T4" s="11" t="s">
        <v>43</v>
      </c>
    </row>
    <row r="5" ht="19.05" customHeight="1" spans="1:20">
      <c r="A5" s="12">
        <v>20001</v>
      </c>
      <c r="B5" s="13" t="s">
        <v>44</v>
      </c>
      <c r="C5" s="14">
        <v>1</v>
      </c>
      <c r="D5" s="14" t="s">
        <v>45</v>
      </c>
      <c r="E5" s="14" t="s">
        <v>46</v>
      </c>
      <c r="F5" s="14"/>
      <c r="G5" s="14"/>
      <c r="H5" s="14" t="s">
        <v>47</v>
      </c>
      <c r="I5" s="14">
        <v>5600</v>
      </c>
      <c r="J5" s="14">
        <v>1</v>
      </c>
      <c r="K5" s="14" t="s">
        <v>48</v>
      </c>
      <c r="L5" s="14">
        <v>50</v>
      </c>
      <c r="M5" s="14">
        <v>700</v>
      </c>
      <c r="N5" s="16">
        <v>2000</v>
      </c>
      <c r="O5" s="14" t="s">
        <v>49</v>
      </c>
      <c r="P5" s="14"/>
      <c r="R5" s="24">
        <v>60</v>
      </c>
      <c r="S5" s="14" t="s">
        <v>50</v>
      </c>
      <c r="T5" s="25" t="s">
        <v>51</v>
      </c>
    </row>
    <row r="6" ht="19.05" customHeight="1" spans="1:20">
      <c r="A6" s="15">
        <v>20101</v>
      </c>
      <c r="B6" s="13" t="s">
        <v>52</v>
      </c>
      <c r="C6" s="14">
        <v>1</v>
      </c>
      <c r="D6" s="14" t="s">
        <v>53</v>
      </c>
      <c r="E6" s="14" t="s">
        <v>54</v>
      </c>
      <c r="F6" s="14"/>
      <c r="G6" s="14"/>
      <c r="H6" s="14" t="s">
        <v>55</v>
      </c>
      <c r="I6" s="14">
        <v>4800</v>
      </c>
      <c r="J6" s="14">
        <v>1</v>
      </c>
      <c r="K6" s="14" t="s">
        <v>48</v>
      </c>
      <c r="L6" s="14">
        <v>200</v>
      </c>
      <c r="M6" s="14">
        <v>700</v>
      </c>
      <c r="N6" s="16">
        <v>6200</v>
      </c>
      <c r="O6" s="14" t="s">
        <v>56</v>
      </c>
      <c r="P6" s="14" t="s">
        <v>57</v>
      </c>
      <c r="R6" s="24">
        <v>125</v>
      </c>
      <c r="S6" s="14" t="s">
        <v>58</v>
      </c>
      <c r="T6" s="25" t="s">
        <v>59</v>
      </c>
    </row>
    <row r="7" ht="19.05" customHeight="1" spans="1:20">
      <c r="A7" s="15">
        <v>20201</v>
      </c>
      <c r="B7" s="13" t="s">
        <v>60</v>
      </c>
      <c r="C7" s="14">
        <v>1</v>
      </c>
      <c r="D7" s="14" t="s">
        <v>61</v>
      </c>
      <c r="E7" s="14" t="s">
        <v>62</v>
      </c>
      <c r="F7" s="14"/>
      <c r="G7" s="14"/>
      <c r="H7" s="14" t="s">
        <v>63</v>
      </c>
      <c r="I7" s="14">
        <v>4250</v>
      </c>
      <c r="J7" s="14">
        <v>1</v>
      </c>
      <c r="K7" s="14" t="s">
        <v>48</v>
      </c>
      <c r="L7" s="14">
        <v>200</v>
      </c>
      <c r="M7" s="14">
        <v>700</v>
      </c>
      <c r="N7" s="16">
        <v>4100</v>
      </c>
      <c r="O7" s="14" t="s">
        <v>64</v>
      </c>
      <c r="P7" s="14">
        <v>20201</v>
      </c>
      <c r="R7" s="24">
        <v>90</v>
      </c>
      <c r="S7" s="14" t="s">
        <v>65</v>
      </c>
      <c r="T7" s="25" t="s">
        <v>66</v>
      </c>
    </row>
    <row r="8" ht="19.05" customHeight="1" spans="1:20">
      <c r="A8" s="15">
        <v>20301</v>
      </c>
      <c r="B8" s="13" t="s">
        <v>67</v>
      </c>
      <c r="C8" s="14">
        <v>2</v>
      </c>
      <c r="D8" s="14" t="s">
        <v>68</v>
      </c>
      <c r="E8" s="14" t="s">
        <v>69</v>
      </c>
      <c r="F8" s="14"/>
      <c r="G8" s="14"/>
      <c r="H8" s="14"/>
      <c r="I8" s="14">
        <v>4800</v>
      </c>
      <c r="J8" s="14">
        <v>1</v>
      </c>
      <c r="K8" s="14" t="s">
        <v>48</v>
      </c>
      <c r="L8" s="14">
        <v>400</v>
      </c>
      <c r="M8" s="14">
        <v>940</v>
      </c>
      <c r="N8" s="20">
        <v>3800</v>
      </c>
      <c r="O8" s="14"/>
      <c r="P8" s="14" t="s">
        <v>70</v>
      </c>
      <c r="R8" s="24">
        <v>100</v>
      </c>
      <c r="S8" s="14" t="s">
        <v>71</v>
      </c>
      <c r="T8" s="26" t="s">
        <v>72</v>
      </c>
    </row>
    <row r="9" ht="19.05" customHeight="1" spans="1:20">
      <c r="A9" s="15">
        <v>20401</v>
      </c>
      <c r="B9" s="13" t="s">
        <v>73</v>
      </c>
      <c r="C9" s="14">
        <v>1</v>
      </c>
      <c r="D9" s="16" t="s">
        <v>74</v>
      </c>
      <c r="E9" s="14" t="s">
        <v>46</v>
      </c>
      <c r="F9" s="14"/>
      <c r="G9" s="14"/>
      <c r="H9" s="14" t="s">
        <v>75</v>
      </c>
      <c r="I9" s="14">
        <v>4250</v>
      </c>
      <c r="J9" s="14">
        <v>1</v>
      </c>
      <c r="K9" s="14" t="s">
        <v>48</v>
      </c>
      <c r="L9" s="14">
        <v>200</v>
      </c>
      <c r="M9" s="14">
        <v>700</v>
      </c>
      <c r="N9" s="16">
        <v>17400</v>
      </c>
      <c r="O9" s="14" t="s">
        <v>76</v>
      </c>
      <c r="P9" s="14" t="s">
        <v>77</v>
      </c>
      <c r="R9" s="24">
        <v>125</v>
      </c>
      <c r="S9" s="14" t="s">
        <v>78</v>
      </c>
      <c r="T9" s="25" t="s">
        <v>79</v>
      </c>
    </row>
    <row r="10" ht="19.05" customHeight="1" spans="1:20">
      <c r="A10" s="15">
        <v>20501</v>
      </c>
      <c r="B10" s="13" t="s">
        <v>80</v>
      </c>
      <c r="C10" s="14">
        <v>3</v>
      </c>
      <c r="D10" s="14" t="s">
        <v>81</v>
      </c>
      <c r="E10" s="14" t="s">
        <v>82</v>
      </c>
      <c r="F10" s="14"/>
      <c r="G10" s="14"/>
      <c r="H10" s="14" t="s">
        <v>83</v>
      </c>
      <c r="I10" s="14">
        <v>5200</v>
      </c>
      <c r="J10" s="14">
        <v>1</v>
      </c>
      <c r="K10" s="14" t="s">
        <v>48</v>
      </c>
      <c r="L10" s="14">
        <v>366</v>
      </c>
      <c r="M10" s="14">
        <v>800</v>
      </c>
      <c r="N10" s="16">
        <v>7500</v>
      </c>
      <c r="O10" s="14" t="s">
        <v>84</v>
      </c>
      <c r="P10" s="14"/>
      <c r="R10" s="24">
        <v>50</v>
      </c>
      <c r="S10" s="14" t="s">
        <v>85</v>
      </c>
      <c r="T10" s="25" t="s">
        <v>86</v>
      </c>
    </row>
    <row r="11" ht="19.05" customHeight="1" spans="1:20">
      <c r="A11" s="15">
        <v>20601</v>
      </c>
      <c r="B11" s="13" t="s">
        <v>87</v>
      </c>
      <c r="C11" s="14">
        <v>3</v>
      </c>
      <c r="D11" s="14" t="s">
        <v>88</v>
      </c>
      <c r="E11" s="14" t="s">
        <v>89</v>
      </c>
      <c r="F11" s="14"/>
      <c r="G11" s="14"/>
      <c r="H11" s="14"/>
      <c r="I11" s="14">
        <v>4250</v>
      </c>
      <c r="J11" s="14">
        <v>1</v>
      </c>
      <c r="K11" s="14" t="s">
        <v>48</v>
      </c>
      <c r="L11" s="14">
        <v>200</v>
      </c>
      <c r="M11" s="14">
        <v>700</v>
      </c>
      <c r="N11" s="16">
        <v>10300</v>
      </c>
      <c r="O11" s="14" t="s">
        <v>90</v>
      </c>
      <c r="P11" s="14">
        <v>20600</v>
      </c>
      <c r="R11" s="24">
        <v>25</v>
      </c>
      <c r="S11" s="14" t="s">
        <v>91</v>
      </c>
      <c r="T11" s="25" t="s">
        <v>92</v>
      </c>
    </row>
    <row r="12" ht="19.05" customHeight="1" spans="1:20">
      <c r="A12" s="15">
        <v>20701</v>
      </c>
      <c r="B12" s="13" t="s">
        <v>93</v>
      </c>
      <c r="C12" s="14">
        <v>2</v>
      </c>
      <c r="D12" s="16" t="s">
        <v>94</v>
      </c>
      <c r="E12" s="14" t="s">
        <v>62</v>
      </c>
      <c r="F12" s="14"/>
      <c r="G12" s="14"/>
      <c r="H12" s="14" t="s">
        <v>47</v>
      </c>
      <c r="I12" s="21">
        <v>4250</v>
      </c>
      <c r="J12" s="14">
        <v>1</v>
      </c>
      <c r="K12" s="14" t="s">
        <v>48</v>
      </c>
      <c r="L12" s="14">
        <v>200</v>
      </c>
      <c r="M12" s="14">
        <v>940</v>
      </c>
      <c r="N12" s="16">
        <v>6200</v>
      </c>
      <c r="O12" s="14" t="s">
        <v>95</v>
      </c>
      <c r="P12" s="14" t="s">
        <v>96</v>
      </c>
      <c r="R12" s="24">
        <v>150</v>
      </c>
      <c r="S12" s="14" t="s">
        <v>97</v>
      </c>
      <c r="T12" s="25" t="s">
        <v>98</v>
      </c>
    </row>
    <row r="13" ht="19.05" customHeight="1" spans="1:20">
      <c r="A13" s="15">
        <v>20801</v>
      </c>
      <c r="B13" s="13" t="s">
        <v>99</v>
      </c>
      <c r="C13" s="14">
        <v>3</v>
      </c>
      <c r="D13" s="16" t="s">
        <v>100</v>
      </c>
      <c r="E13" s="14" t="s">
        <v>82</v>
      </c>
      <c r="F13" s="14"/>
      <c r="G13" s="14"/>
      <c r="H13" s="14"/>
      <c r="I13" s="14">
        <v>4250</v>
      </c>
      <c r="J13" s="14">
        <v>1</v>
      </c>
      <c r="K13" s="14" t="s">
        <v>48</v>
      </c>
      <c r="L13" s="14">
        <v>200</v>
      </c>
      <c r="M13" s="14">
        <v>700</v>
      </c>
      <c r="N13" s="16">
        <v>6100</v>
      </c>
      <c r="O13" s="14" t="s">
        <v>101</v>
      </c>
      <c r="P13" s="14"/>
      <c r="R13" s="24">
        <v>75</v>
      </c>
      <c r="S13" s="14" t="s">
        <v>102</v>
      </c>
      <c r="T13" s="25" t="s">
        <v>103</v>
      </c>
    </row>
    <row r="14" ht="18" customHeight="1" spans="1:20">
      <c r="A14" s="15">
        <v>20901</v>
      </c>
      <c r="B14" s="13" t="s">
        <v>104</v>
      </c>
      <c r="C14" s="14">
        <v>1</v>
      </c>
      <c r="D14" s="14" t="s">
        <v>105</v>
      </c>
      <c r="E14" s="14" t="s">
        <v>46</v>
      </c>
      <c r="F14" s="14"/>
      <c r="G14" s="14"/>
      <c r="H14" s="14" t="s">
        <v>47</v>
      </c>
      <c r="I14" s="14">
        <v>5200</v>
      </c>
      <c r="J14" s="14">
        <v>1</v>
      </c>
      <c r="K14" s="14" t="s">
        <v>48</v>
      </c>
      <c r="L14" s="14">
        <v>200</v>
      </c>
      <c r="M14" s="14">
        <v>700</v>
      </c>
      <c r="N14" s="16">
        <v>7700</v>
      </c>
      <c r="O14" s="14" t="s">
        <v>106</v>
      </c>
      <c r="P14" s="14">
        <v>20900</v>
      </c>
      <c r="R14" s="24">
        <v>175</v>
      </c>
      <c r="S14" s="14" t="s">
        <v>107</v>
      </c>
      <c r="T14" s="25" t="s">
        <v>108</v>
      </c>
    </row>
    <row r="15" ht="19.05" customHeight="1" spans="1:20">
      <c r="A15" s="15">
        <v>21001</v>
      </c>
      <c r="B15" s="13" t="s">
        <v>109</v>
      </c>
      <c r="C15" s="14">
        <v>3</v>
      </c>
      <c r="D15" s="14" t="s">
        <v>110</v>
      </c>
      <c r="E15" s="14" t="s">
        <v>111</v>
      </c>
      <c r="F15" s="14"/>
      <c r="G15" s="14"/>
      <c r="H15" s="14"/>
      <c r="I15" s="14">
        <v>4250</v>
      </c>
      <c r="J15" s="14">
        <v>1</v>
      </c>
      <c r="K15" s="14" t="s">
        <v>48</v>
      </c>
      <c r="L15" s="14">
        <v>200</v>
      </c>
      <c r="M15" s="14">
        <v>700</v>
      </c>
      <c r="N15" s="16">
        <v>17100</v>
      </c>
      <c r="O15" s="14" t="s">
        <v>112</v>
      </c>
      <c r="P15" s="14">
        <v>21001</v>
      </c>
      <c r="R15" s="24">
        <v>50</v>
      </c>
      <c r="S15" s="14" t="s">
        <v>113</v>
      </c>
      <c r="T15" s="25" t="s">
        <v>114</v>
      </c>
    </row>
    <row r="16" ht="19.05" customHeight="1" spans="1:20">
      <c r="A16" s="15">
        <v>21101</v>
      </c>
      <c r="B16" s="13" t="s">
        <v>115</v>
      </c>
      <c r="C16" s="14">
        <v>1</v>
      </c>
      <c r="D16" s="14" t="s">
        <v>116</v>
      </c>
      <c r="E16" s="14" t="s">
        <v>82</v>
      </c>
      <c r="F16" s="14"/>
      <c r="G16" s="14"/>
      <c r="H16" s="14"/>
      <c r="I16" s="14">
        <v>2600</v>
      </c>
      <c r="J16" s="14">
        <v>1</v>
      </c>
      <c r="K16" s="14" t="s">
        <v>48</v>
      </c>
      <c r="L16" s="14">
        <v>200</v>
      </c>
      <c r="M16" s="14">
        <v>700</v>
      </c>
      <c r="N16" s="16">
        <v>13500</v>
      </c>
      <c r="O16" s="14" t="s">
        <v>117</v>
      </c>
      <c r="P16" s="14">
        <v>21101</v>
      </c>
      <c r="R16" s="24">
        <v>100</v>
      </c>
      <c r="S16" s="14" t="s">
        <v>118</v>
      </c>
      <c r="T16" s="25" t="s">
        <v>119</v>
      </c>
    </row>
    <row r="17" spans="1:20">
      <c r="A17" s="15">
        <v>21201</v>
      </c>
      <c r="B17" s="13" t="s">
        <v>120</v>
      </c>
      <c r="C17" s="14">
        <v>1</v>
      </c>
      <c r="D17" s="14" t="s">
        <v>121</v>
      </c>
      <c r="E17" s="14" t="s">
        <v>54</v>
      </c>
      <c r="F17" s="14"/>
      <c r="G17" s="14"/>
      <c r="H17" s="14" t="s">
        <v>122</v>
      </c>
      <c r="I17" s="14">
        <v>2600</v>
      </c>
      <c r="J17" s="14">
        <v>1</v>
      </c>
      <c r="K17" s="14" t="s">
        <v>48</v>
      </c>
      <c r="L17" s="14">
        <v>200</v>
      </c>
      <c r="M17" s="14">
        <v>700</v>
      </c>
      <c r="N17" s="16">
        <v>4000</v>
      </c>
      <c r="O17" s="14" t="s">
        <v>123</v>
      </c>
      <c r="P17" s="14"/>
      <c r="R17" s="24">
        <v>150</v>
      </c>
      <c r="S17" s="14" t="s">
        <v>124</v>
      </c>
      <c r="T17" s="25" t="s">
        <v>125</v>
      </c>
    </row>
    <row r="18" spans="1:20">
      <c r="A18" s="15">
        <v>21301</v>
      </c>
      <c r="B18" s="13" t="s">
        <v>126</v>
      </c>
      <c r="C18" s="14">
        <v>1</v>
      </c>
      <c r="D18" s="14" t="s">
        <v>127</v>
      </c>
      <c r="E18" s="14" t="s">
        <v>111</v>
      </c>
      <c r="F18" s="14"/>
      <c r="G18" s="14"/>
      <c r="H18" s="14"/>
      <c r="I18" s="14">
        <v>4800</v>
      </c>
      <c r="J18" s="14">
        <v>1</v>
      </c>
      <c r="K18" s="14" t="s">
        <v>48</v>
      </c>
      <c r="L18" s="14">
        <v>200</v>
      </c>
      <c r="M18" s="14">
        <v>700</v>
      </c>
      <c r="N18" s="16">
        <v>6500</v>
      </c>
      <c r="O18" s="14" t="s">
        <v>128</v>
      </c>
      <c r="P18" s="14">
        <v>21300</v>
      </c>
      <c r="R18" s="24">
        <v>125</v>
      </c>
      <c r="S18" s="14" t="s">
        <v>129</v>
      </c>
      <c r="T18" s="25" t="s">
        <v>130</v>
      </c>
    </row>
    <row r="19" spans="1:20">
      <c r="A19" s="15">
        <v>21401</v>
      </c>
      <c r="B19" s="13" t="s">
        <v>131</v>
      </c>
      <c r="C19" s="14">
        <v>3</v>
      </c>
      <c r="D19" s="14" t="s">
        <v>132</v>
      </c>
      <c r="E19" s="14" t="s">
        <v>82</v>
      </c>
      <c r="F19" s="14"/>
      <c r="G19" s="14"/>
      <c r="H19" s="14" t="s">
        <v>133</v>
      </c>
      <c r="I19" s="14">
        <v>4650</v>
      </c>
      <c r="J19" s="14">
        <v>1</v>
      </c>
      <c r="K19" s="14" t="s">
        <v>48</v>
      </c>
      <c r="L19" s="14">
        <v>200</v>
      </c>
      <c r="M19" s="14">
        <v>700</v>
      </c>
      <c r="N19" s="16">
        <v>10000</v>
      </c>
      <c r="O19" s="14" t="s">
        <v>134</v>
      </c>
      <c r="P19" s="14">
        <v>21400</v>
      </c>
      <c r="R19" s="24">
        <v>40</v>
      </c>
      <c r="S19" s="14" t="s">
        <v>135</v>
      </c>
      <c r="T19" s="25" t="s">
        <v>136</v>
      </c>
    </row>
    <row r="20" spans="1:20">
      <c r="A20" s="14">
        <v>101</v>
      </c>
      <c r="B20" s="13" t="s">
        <v>137</v>
      </c>
      <c r="C20" s="14">
        <v>2</v>
      </c>
      <c r="D20" s="14"/>
      <c r="E20" s="14"/>
      <c r="F20" s="14"/>
      <c r="G20" s="14"/>
      <c r="H20" s="14" t="s">
        <v>138</v>
      </c>
      <c r="I20" s="14"/>
      <c r="J20" s="14">
        <v>1</v>
      </c>
      <c r="K20" s="14" t="s">
        <v>48</v>
      </c>
      <c r="L20" s="14">
        <v>250</v>
      </c>
      <c r="M20" s="14">
        <v>800</v>
      </c>
      <c r="N20" s="14">
        <v>3000</v>
      </c>
      <c r="O20" s="14"/>
      <c r="P20" s="14"/>
      <c r="Q20" s="14"/>
      <c r="R20" s="14"/>
      <c r="S20" s="21"/>
      <c r="T20" s="25"/>
    </row>
    <row r="21" ht="16.95" customHeight="1" spans="1:20">
      <c r="A21" s="14">
        <v>102</v>
      </c>
      <c r="B21" s="13" t="s">
        <v>139</v>
      </c>
      <c r="C21" s="14">
        <v>4</v>
      </c>
      <c r="D21" s="14" t="s">
        <v>140</v>
      </c>
      <c r="E21" s="14" t="s">
        <v>54</v>
      </c>
      <c r="F21" s="14" t="s">
        <v>141</v>
      </c>
      <c r="G21" s="14" t="s">
        <v>142</v>
      </c>
      <c r="H21" s="14" t="s">
        <v>143</v>
      </c>
      <c r="I21" s="14">
        <v>700</v>
      </c>
      <c r="J21" s="14">
        <v>1</v>
      </c>
      <c r="K21" s="14" t="s">
        <v>48</v>
      </c>
      <c r="L21" s="14">
        <v>460</v>
      </c>
      <c r="M21" s="14">
        <v>800</v>
      </c>
      <c r="N21" s="14">
        <v>5000</v>
      </c>
      <c r="O21" s="14"/>
      <c r="P21" s="14"/>
      <c r="Q21" s="14"/>
      <c r="R21" s="14"/>
      <c r="S21" s="21"/>
      <c r="T21" s="25"/>
    </row>
    <row r="22" ht="16.95" customHeight="1" spans="1:20">
      <c r="A22" s="14">
        <v>103</v>
      </c>
      <c r="B22" s="13" t="s">
        <v>139</v>
      </c>
      <c r="C22" s="14">
        <v>4</v>
      </c>
      <c r="D22" s="14"/>
      <c r="E22" s="14"/>
      <c r="F22" s="14" t="s">
        <v>144</v>
      </c>
      <c r="G22" s="14" t="s">
        <v>142</v>
      </c>
      <c r="H22" s="14" t="s">
        <v>138</v>
      </c>
      <c r="I22" s="14">
        <v>700</v>
      </c>
      <c r="J22" s="14">
        <v>1</v>
      </c>
      <c r="K22" s="14" t="s">
        <v>48</v>
      </c>
      <c r="L22" s="14">
        <v>460</v>
      </c>
      <c r="M22" s="14">
        <v>800</v>
      </c>
      <c r="N22" s="14">
        <v>5000</v>
      </c>
      <c r="O22" s="14"/>
      <c r="P22" s="14"/>
      <c r="Q22" s="14"/>
      <c r="R22" s="14"/>
      <c r="S22" s="21"/>
      <c r="T22" s="25"/>
    </row>
    <row r="23" ht="19.05" customHeight="1" spans="1:20">
      <c r="A23" s="12">
        <v>30001</v>
      </c>
      <c r="B23" s="13" t="s">
        <v>145</v>
      </c>
      <c r="C23" s="14">
        <v>1</v>
      </c>
      <c r="D23" s="14" t="s">
        <v>45</v>
      </c>
      <c r="E23" s="14" t="s">
        <v>46</v>
      </c>
      <c r="F23" s="14"/>
      <c r="G23" s="14"/>
      <c r="H23" s="14"/>
      <c r="I23" s="14">
        <v>5600</v>
      </c>
      <c r="J23" s="14">
        <v>1</v>
      </c>
      <c r="K23" s="14" t="s">
        <v>48</v>
      </c>
      <c r="L23" s="14">
        <v>50</v>
      </c>
      <c r="M23" s="14">
        <v>700</v>
      </c>
      <c r="N23" s="16">
        <v>2000</v>
      </c>
      <c r="O23" s="14" t="s">
        <v>146</v>
      </c>
      <c r="P23" s="14"/>
      <c r="Q23" s="4">
        <v>60001</v>
      </c>
      <c r="R23" s="24">
        <v>120</v>
      </c>
      <c r="S23" s="14" t="s">
        <v>147</v>
      </c>
      <c r="T23" s="25" t="s">
        <v>148</v>
      </c>
    </row>
    <row r="24" ht="19.05" customHeight="1" spans="1:20">
      <c r="A24" s="15">
        <v>30101</v>
      </c>
      <c r="B24" s="13" t="s">
        <v>149</v>
      </c>
      <c r="C24" s="14">
        <v>1</v>
      </c>
      <c r="D24" s="14" t="s">
        <v>140</v>
      </c>
      <c r="E24" s="14" t="s">
        <v>54</v>
      </c>
      <c r="F24" s="14"/>
      <c r="G24" s="14"/>
      <c r="H24" s="14"/>
      <c r="I24" s="14">
        <v>4800</v>
      </c>
      <c r="J24" s="14">
        <v>1</v>
      </c>
      <c r="K24" s="14" t="s">
        <v>48</v>
      </c>
      <c r="L24" s="14">
        <v>200</v>
      </c>
      <c r="M24" s="14">
        <v>700</v>
      </c>
      <c r="N24" s="16">
        <v>6200</v>
      </c>
      <c r="O24" s="14" t="s">
        <v>150</v>
      </c>
      <c r="P24" s="14" t="s">
        <v>151</v>
      </c>
      <c r="Q24" s="4">
        <v>60101</v>
      </c>
      <c r="R24" s="24">
        <v>250</v>
      </c>
      <c r="S24" s="14" t="s">
        <v>152</v>
      </c>
      <c r="T24" s="25" t="s">
        <v>153</v>
      </c>
    </row>
    <row r="25" ht="19.05" customHeight="1" spans="1:20">
      <c r="A25" s="15">
        <v>30201</v>
      </c>
      <c r="B25" s="13" t="s">
        <v>154</v>
      </c>
      <c r="C25" s="14">
        <v>1</v>
      </c>
      <c r="D25" s="14" t="s">
        <v>45</v>
      </c>
      <c r="E25" s="14" t="s">
        <v>62</v>
      </c>
      <c r="F25" s="14"/>
      <c r="G25" s="14"/>
      <c r="H25" s="14"/>
      <c r="I25" s="14">
        <v>4250</v>
      </c>
      <c r="J25" s="14">
        <v>1</v>
      </c>
      <c r="K25" s="14" t="s">
        <v>48</v>
      </c>
      <c r="L25" s="14">
        <v>200</v>
      </c>
      <c r="M25" s="14">
        <v>700</v>
      </c>
      <c r="N25" s="16">
        <v>4100</v>
      </c>
      <c r="O25" s="14" t="s">
        <v>155</v>
      </c>
      <c r="P25" s="14"/>
      <c r="Q25" s="4">
        <v>60201</v>
      </c>
      <c r="R25" s="21">
        <v>180</v>
      </c>
      <c r="S25" s="14" t="s">
        <v>156</v>
      </c>
      <c r="T25" s="25" t="s">
        <v>157</v>
      </c>
    </row>
    <row r="26" ht="19.05" customHeight="1" spans="1:20">
      <c r="A26" s="15">
        <v>30301</v>
      </c>
      <c r="B26" s="13" t="s">
        <v>158</v>
      </c>
      <c r="C26" s="14">
        <v>2</v>
      </c>
      <c r="D26" s="14" t="s">
        <v>159</v>
      </c>
      <c r="E26" s="14" t="s">
        <v>69</v>
      </c>
      <c r="F26" s="14"/>
      <c r="G26" s="14"/>
      <c r="H26" s="14"/>
      <c r="I26" s="14">
        <v>4800</v>
      </c>
      <c r="J26" s="14">
        <v>1</v>
      </c>
      <c r="K26" s="14" t="s">
        <v>48</v>
      </c>
      <c r="L26" s="14">
        <v>400</v>
      </c>
      <c r="M26" s="14">
        <v>940</v>
      </c>
      <c r="N26" s="20">
        <v>3800</v>
      </c>
      <c r="O26" s="14"/>
      <c r="P26" s="14" t="s">
        <v>160</v>
      </c>
      <c r="Q26" s="4">
        <v>60301</v>
      </c>
      <c r="R26" s="24">
        <v>200</v>
      </c>
      <c r="S26" s="14" t="s">
        <v>161</v>
      </c>
      <c r="T26" s="26" t="s">
        <v>162</v>
      </c>
    </row>
    <row r="27" ht="19.05" customHeight="1" spans="1:20">
      <c r="A27" s="15">
        <v>30401</v>
      </c>
      <c r="B27" s="13" t="s">
        <v>163</v>
      </c>
      <c r="C27" s="14">
        <v>1</v>
      </c>
      <c r="D27" s="16" t="s">
        <v>164</v>
      </c>
      <c r="E27" s="14" t="s">
        <v>46</v>
      </c>
      <c r="F27" s="14"/>
      <c r="G27" s="14"/>
      <c r="H27" s="14"/>
      <c r="I27" s="14">
        <v>4250</v>
      </c>
      <c r="J27" s="14">
        <v>1</v>
      </c>
      <c r="K27" s="14" t="s">
        <v>48</v>
      </c>
      <c r="L27" s="14">
        <v>200</v>
      </c>
      <c r="M27" s="14">
        <v>700</v>
      </c>
      <c r="N27" s="16">
        <v>17400</v>
      </c>
      <c r="O27" s="14" t="s">
        <v>165</v>
      </c>
      <c r="P27" s="14" t="s">
        <v>166</v>
      </c>
      <c r="Q27" s="4" t="s">
        <v>167</v>
      </c>
      <c r="R27" s="21">
        <v>150</v>
      </c>
      <c r="S27" s="14" t="s">
        <v>168</v>
      </c>
      <c r="T27" s="25" t="s">
        <v>169</v>
      </c>
    </row>
    <row r="28" ht="19.05" customHeight="1" spans="1:20">
      <c r="A28" s="15">
        <v>30501</v>
      </c>
      <c r="B28" s="13" t="s">
        <v>170</v>
      </c>
      <c r="C28" s="14">
        <v>3</v>
      </c>
      <c r="D28" s="14" t="s">
        <v>171</v>
      </c>
      <c r="E28" s="14" t="s">
        <v>82</v>
      </c>
      <c r="F28" s="14"/>
      <c r="G28" s="14"/>
      <c r="H28" s="14"/>
      <c r="I28" s="14">
        <v>5200</v>
      </c>
      <c r="J28" s="14">
        <v>1</v>
      </c>
      <c r="K28" s="14" t="s">
        <v>48</v>
      </c>
      <c r="L28" s="14">
        <v>366</v>
      </c>
      <c r="M28" s="14">
        <v>800</v>
      </c>
      <c r="N28" s="16">
        <v>7500</v>
      </c>
      <c r="O28" s="14" t="s">
        <v>172</v>
      </c>
      <c r="P28" s="14"/>
      <c r="Q28" s="4">
        <v>60501</v>
      </c>
      <c r="R28" s="24">
        <v>100</v>
      </c>
      <c r="S28" s="14" t="s">
        <v>173</v>
      </c>
      <c r="T28" s="25" t="s">
        <v>174</v>
      </c>
    </row>
    <row r="29" ht="19.05" customHeight="1" spans="1:20">
      <c r="A29" s="15">
        <v>30601</v>
      </c>
      <c r="B29" s="13" t="s">
        <v>175</v>
      </c>
      <c r="C29" s="14">
        <v>3</v>
      </c>
      <c r="D29" s="14" t="s">
        <v>176</v>
      </c>
      <c r="E29" s="14" t="s">
        <v>89</v>
      </c>
      <c r="F29" s="14"/>
      <c r="G29" s="14"/>
      <c r="H29" s="14"/>
      <c r="I29" s="14">
        <v>4250</v>
      </c>
      <c r="J29" s="14">
        <v>1</v>
      </c>
      <c r="K29" s="14" t="s">
        <v>48</v>
      </c>
      <c r="L29" s="14">
        <v>200</v>
      </c>
      <c r="M29" s="14">
        <v>700</v>
      </c>
      <c r="N29" s="16">
        <v>10300</v>
      </c>
      <c r="O29" s="14" t="s">
        <v>177</v>
      </c>
      <c r="P29" s="14">
        <v>62008</v>
      </c>
      <c r="Q29" s="4">
        <v>60601</v>
      </c>
      <c r="R29" s="21">
        <v>100</v>
      </c>
      <c r="S29" s="14" t="s">
        <v>178</v>
      </c>
      <c r="T29" s="25" t="s">
        <v>179</v>
      </c>
    </row>
    <row r="30" ht="19.05" customHeight="1" spans="1:20">
      <c r="A30" s="15">
        <v>30701</v>
      </c>
      <c r="B30" s="13" t="s">
        <v>180</v>
      </c>
      <c r="C30" s="14">
        <v>2</v>
      </c>
      <c r="D30" s="16" t="s">
        <v>94</v>
      </c>
      <c r="E30" s="14" t="s">
        <v>62</v>
      </c>
      <c r="F30" s="14"/>
      <c r="G30" s="14"/>
      <c r="H30" s="14"/>
      <c r="I30" s="21">
        <v>4250</v>
      </c>
      <c r="J30" s="14">
        <v>1</v>
      </c>
      <c r="K30" s="14" t="s">
        <v>48</v>
      </c>
      <c r="L30" s="14">
        <v>200</v>
      </c>
      <c r="M30" s="14">
        <v>940</v>
      </c>
      <c r="N30" s="16">
        <v>6200</v>
      </c>
      <c r="O30" s="14" t="s">
        <v>95</v>
      </c>
      <c r="P30" s="14" t="s">
        <v>181</v>
      </c>
      <c r="Q30" s="4">
        <v>60701</v>
      </c>
      <c r="R30" s="24">
        <v>300</v>
      </c>
      <c r="S30" s="14" t="s">
        <v>182</v>
      </c>
      <c r="T30" s="25" t="s">
        <v>183</v>
      </c>
    </row>
    <row r="31" ht="19.05" customHeight="1" spans="1:20">
      <c r="A31" s="15">
        <v>30801</v>
      </c>
      <c r="B31" s="13" t="s">
        <v>184</v>
      </c>
      <c r="C31" s="14">
        <v>3</v>
      </c>
      <c r="D31" s="16" t="s">
        <v>185</v>
      </c>
      <c r="E31" s="14" t="s">
        <v>82</v>
      </c>
      <c r="F31" s="14"/>
      <c r="G31" s="14"/>
      <c r="H31" s="14"/>
      <c r="I31" s="14">
        <v>4250</v>
      </c>
      <c r="J31" s="14">
        <v>1</v>
      </c>
      <c r="K31" s="14" t="s">
        <v>48</v>
      </c>
      <c r="L31" s="14">
        <v>200</v>
      </c>
      <c r="M31" s="14">
        <v>700</v>
      </c>
      <c r="N31" s="16">
        <v>6100</v>
      </c>
      <c r="O31" s="14" t="s">
        <v>186</v>
      </c>
      <c r="P31" s="14"/>
      <c r="Q31" s="4">
        <v>60801</v>
      </c>
      <c r="R31" s="24">
        <v>150</v>
      </c>
      <c r="S31" s="14" t="s">
        <v>187</v>
      </c>
      <c r="T31" s="25" t="s">
        <v>188</v>
      </c>
    </row>
    <row r="32" ht="18" customHeight="1" spans="1:20">
      <c r="A32" s="15">
        <v>30901</v>
      </c>
      <c r="B32" s="13" t="s">
        <v>189</v>
      </c>
      <c r="C32" s="14">
        <v>1</v>
      </c>
      <c r="D32" s="14" t="s">
        <v>105</v>
      </c>
      <c r="E32" s="14" t="s">
        <v>46</v>
      </c>
      <c r="F32" s="14"/>
      <c r="G32" s="14"/>
      <c r="H32" s="14"/>
      <c r="I32" s="14">
        <v>5200</v>
      </c>
      <c r="J32" s="14">
        <v>1</v>
      </c>
      <c r="K32" s="14" t="s">
        <v>48</v>
      </c>
      <c r="L32" s="14">
        <v>200</v>
      </c>
      <c r="M32" s="14">
        <v>700</v>
      </c>
      <c r="N32" s="16">
        <v>7700</v>
      </c>
      <c r="O32" s="14" t="s">
        <v>190</v>
      </c>
      <c r="P32" s="14">
        <v>62011</v>
      </c>
      <c r="Q32" s="4">
        <v>60901</v>
      </c>
      <c r="R32" s="24">
        <v>350</v>
      </c>
      <c r="S32" s="14" t="s">
        <v>191</v>
      </c>
      <c r="T32" s="25" t="s">
        <v>192</v>
      </c>
    </row>
    <row r="33" ht="19.05" customHeight="1" spans="1:20">
      <c r="A33" s="15">
        <v>31001</v>
      </c>
      <c r="B33" s="13" t="s">
        <v>193</v>
      </c>
      <c r="C33" s="14">
        <v>3</v>
      </c>
      <c r="D33" s="14" t="s">
        <v>110</v>
      </c>
      <c r="E33" s="14" t="s">
        <v>111</v>
      </c>
      <c r="F33" s="14"/>
      <c r="G33" s="14"/>
      <c r="H33" s="14"/>
      <c r="I33" s="14">
        <v>4250</v>
      </c>
      <c r="J33" s="14">
        <v>1</v>
      </c>
      <c r="K33" s="14" t="s">
        <v>48</v>
      </c>
      <c r="L33" s="14">
        <v>200</v>
      </c>
      <c r="M33" s="14">
        <v>700</v>
      </c>
      <c r="N33" s="16">
        <v>17100</v>
      </c>
      <c r="O33" s="14" t="s">
        <v>194</v>
      </c>
      <c r="P33" s="14">
        <v>62012</v>
      </c>
      <c r="Q33" s="4" t="s">
        <v>195</v>
      </c>
      <c r="R33" s="24">
        <v>100</v>
      </c>
      <c r="S33" s="14" t="s">
        <v>196</v>
      </c>
      <c r="T33" s="27" t="s">
        <v>197</v>
      </c>
    </row>
    <row r="34" ht="19.05" customHeight="1" spans="1:20">
      <c r="A34" s="15">
        <v>31101</v>
      </c>
      <c r="B34" s="13" t="s">
        <v>198</v>
      </c>
      <c r="C34" s="14">
        <v>1</v>
      </c>
      <c r="D34" s="14" t="s">
        <v>116</v>
      </c>
      <c r="E34" s="14" t="s">
        <v>82</v>
      </c>
      <c r="F34" s="14"/>
      <c r="G34" s="14"/>
      <c r="H34" s="14"/>
      <c r="I34" s="14">
        <v>2600</v>
      </c>
      <c r="J34" s="14">
        <v>1</v>
      </c>
      <c r="K34" s="14" t="s">
        <v>48</v>
      </c>
      <c r="L34" s="14">
        <v>200</v>
      </c>
      <c r="M34" s="14">
        <v>700</v>
      </c>
      <c r="N34" s="16">
        <v>13500</v>
      </c>
      <c r="O34" s="14" t="s">
        <v>199</v>
      </c>
      <c r="P34" s="14">
        <v>62013</v>
      </c>
      <c r="Q34" s="4">
        <v>61101</v>
      </c>
      <c r="R34" s="24">
        <v>200</v>
      </c>
      <c r="S34" s="14" t="s">
        <v>200</v>
      </c>
      <c r="T34" s="25" t="s">
        <v>201</v>
      </c>
    </row>
    <row r="35" spans="1:20">
      <c r="A35" s="15">
        <v>31201</v>
      </c>
      <c r="B35" s="13" t="s">
        <v>202</v>
      </c>
      <c r="C35" s="14">
        <v>1</v>
      </c>
      <c r="D35" s="14" t="s">
        <v>203</v>
      </c>
      <c r="E35" s="14" t="s">
        <v>54</v>
      </c>
      <c r="F35" s="14"/>
      <c r="G35" s="14"/>
      <c r="H35" s="14"/>
      <c r="I35" s="14">
        <v>2600</v>
      </c>
      <c r="J35" s="14">
        <v>1</v>
      </c>
      <c r="K35" s="14" t="s">
        <v>48</v>
      </c>
      <c r="L35" s="14">
        <v>200</v>
      </c>
      <c r="M35" s="14">
        <v>700</v>
      </c>
      <c r="N35" s="16">
        <v>4000</v>
      </c>
      <c r="O35" s="14" t="s">
        <v>204</v>
      </c>
      <c r="P35" s="14"/>
      <c r="Q35" s="4">
        <v>61201</v>
      </c>
      <c r="R35" s="24">
        <v>300</v>
      </c>
      <c r="S35" s="14" t="s">
        <v>205</v>
      </c>
      <c r="T35" s="25" t="s">
        <v>206</v>
      </c>
    </row>
    <row r="36" spans="1:20">
      <c r="A36" s="15">
        <v>31301</v>
      </c>
      <c r="B36" s="13" t="s">
        <v>207</v>
      </c>
      <c r="C36" s="14">
        <v>1</v>
      </c>
      <c r="D36" s="14" t="s">
        <v>110</v>
      </c>
      <c r="E36" s="14" t="s">
        <v>111</v>
      </c>
      <c r="F36" s="14"/>
      <c r="G36" s="14"/>
      <c r="H36" s="14"/>
      <c r="I36" s="14">
        <v>4800</v>
      </c>
      <c r="J36" s="14">
        <v>1</v>
      </c>
      <c r="K36" s="14" t="s">
        <v>48</v>
      </c>
      <c r="L36" s="14">
        <v>200</v>
      </c>
      <c r="M36" s="14">
        <v>700</v>
      </c>
      <c r="N36" s="16">
        <v>6500</v>
      </c>
      <c r="O36" s="14" t="s">
        <v>208</v>
      </c>
      <c r="P36" s="14">
        <v>61048</v>
      </c>
      <c r="Q36" s="4">
        <v>61301</v>
      </c>
      <c r="R36" s="24">
        <v>250</v>
      </c>
      <c r="S36" s="14" t="s">
        <v>209</v>
      </c>
      <c r="T36" s="25" t="s">
        <v>210</v>
      </c>
    </row>
    <row r="37" spans="1:20">
      <c r="A37" s="17">
        <v>31401</v>
      </c>
      <c r="B37" s="18" t="s">
        <v>211</v>
      </c>
      <c r="C37" s="19">
        <v>3</v>
      </c>
      <c r="D37" s="19" t="s">
        <v>212</v>
      </c>
      <c r="E37" s="19" t="s">
        <v>82</v>
      </c>
      <c r="F37" s="19"/>
      <c r="G37" s="19"/>
      <c r="H37" s="19"/>
      <c r="I37" s="19">
        <v>4650</v>
      </c>
      <c r="J37" s="19">
        <v>1</v>
      </c>
      <c r="K37" s="19" t="s">
        <v>48</v>
      </c>
      <c r="L37" s="19">
        <v>200</v>
      </c>
      <c r="M37" s="19">
        <v>700</v>
      </c>
      <c r="N37" s="22">
        <v>10000</v>
      </c>
      <c r="O37" s="19" t="s">
        <v>213</v>
      </c>
      <c r="P37" s="19">
        <v>61049</v>
      </c>
      <c r="Q37" s="4">
        <v>61401</v>
      </c>
      <c r="R37" s="28">
        <v>80</v>
      </c>
      <c r="S37" s="14" t="s">
        <v>214</v>
      </c>
      <c r="T37" s="29" t="s">
        <v>215</v>
      </c>
    </row>
    <row r="38" spans="1:20">
      <c r="A38" s="14">
        <v>411</v>
      </c>
      <c r="B38" s="14" t="s">
        <v>216</v>
      </c>
      <c r="C38" s="14">
        <v>1</v>
      </c>
      <c r="D38" s="14"/>
      <c r="E38" s="14" t="s">
        <v>89</v>
      </c>
      <c r="F38" s="14"/>
      <c r="G38" s="14"/>
      <c r="H38" s="14"/>
      <c r="I38" s="14">
        <v>-1</v>
      </c>
      <c r="J38" s="14">
        <v>1</v>
      </c>
      <c r="K38" s="14" t="s">
        <v>48</v>
      </c>
      <c r="L38" s="14"/>
      <c r="M38" s="14"/>
      <c r="N38" s="14">
        <v>-1</v>
      </c>
      <c r="O38" s="23" t="s">
        <v>217</v>
      </c>
      <c r="P38" s="14"/>
      <c r="Q38" s="14"/>
      <c r="R38" s="14">
        <v>100</v>
      </c>
      <c r="S38" s="14"/>
      <c r="T38" s="25" t="s">
        <v>218</v>
      </c>
    </row>
    <row r="39" spans="1:20">
      <c r="A39" s="14">
        <v>412</v>
      </c>
      <c r="B39" s="14" t="s">
        <v>219</v>
      </c>
      <c r="C39" s="14">
        <v>1</v>
      </c>
      <c r="D39" s="14"/>
      <c r="E39" s="14" t="s">
        <v>89</v>
      </c>
      <c r="F39" s="14"/>
      <c r="G39" s="14"/>
      <c r="H39" s="14"/>
      <c r="I39" s="14">
        <v>-1</v>
      </c>
      <c r="J39" s="14">
        <v>1</v>
      </c>
      <c r="K39" s="14" t="s">
        <v>48</v>
      </c>
      <c r="L39" s="14"/>
      <c r="M39" s="14"/>
      <c r="N39" s="14">
        <v>-1</v>
      </c>
      <c r="O39" s="23" t="s">
        <v>217</v>
      </c>
      <c r="P39" s="14"/>
      <c r="Q39" s="14"/>
      <c r="R39" s="14">
        <v>150</v>
      </c>
      <c r="S39" s="14"/>
      <c r="T39" s="25" t="s">
        <v>220</v>
      </c>
    </row>
    <row r="40" spans="1:20">
      <c r="A40" s="14">
        <v>413</v>
      </c>
      <c r="B40" s="14" t="s">
        <v>221</v>
      </c>
      <c r="C40" s="14">
        <v>1</v>
      </c>
      <c r="D40" s="14"/>
      <c r="E40" s="14" t="s">
        <v>89</v>
      </c>
      <c r="F40" s="14"/>
      <c r="G40" s="14"/>
      <c r="H40" s="14"/>
      <c r="I40" s="14">
        <v>-1</v>
      </c>
      <c r="J40" s="14">
        <v>1</v>
      </c>
      <c r="K40" s="14" t="s">
        <v>48</v>
      </c>
      <c r="L40" s="14"/>
      <c r="M40" s="14"/>
      <c r="N40" s="14">
        <v>-1</v>
      </c>
      <c r="O40" s="23" t="s">
        <v>222</v>
      </c>
      <c r="P40" s="14"/>
      <c r="Q40" s="14"/>
      <c r="R40" s="14">
        <v>100</v>
      </c>
      <c r="S40" s="14"/>
      <c r="T40" s="25" t="s">
        <v>223</v>
      </c>
    </row>
    <row r="41" spans="1:20">
      <c r="A41" s="14">
        <v>414</v>
      </c>
      <c r="B41" s="14" t="s">
        <v>224</v>
      </c>
      <c r="C41" s="14">
        <v>1</v>
      </c>
      <c r="D41" s="14"/>
      <c r="E41" s="14" t="s">
        <v>89</v>
      </c>
      <c r="F41" s="14"/>
      <c r="G41" s="14"/>
      <c r="H41" s="14"/>
      <c r="I41" s="14">
        <v>-1</v>
      </c>
      <c r="J41" s="14">
        <v>1</v>
      </c>
      <c r="K41" s="14" t="s">
        <v>48</v>
      </c>
      <c r="L41" s="14"/>
      <c r="M41" s="14"/>
      <c r="N41" s="14">
        <v>-1</v>
      </c>
      <c r="O41" s="23" t="s">
        <v>225</v>
      </c>
      <c r="P41" s="14"/>
      <c r="Q41" s="14"/>
      <c r="R41" s="14">
        <v>100</v>
      </c>
      <c r="S41" s="14"/>
      <c r="T41" s="25" t="s">
        <v>226</v>
      </c>
    </row>
    <row r="42" spans="1:20">
      <c r="A42" s="14">
        <v>421</v>
      </c>
      <c r="B42" s="14" t="s">
        <v>227</v>
      </c>
      <c r="C42" s="14">
        <v>3</v>
      </c>
      <c r="D42" s="14" t="s">
        <v>176</v>
      </c>
      <c r="E42" s="14" t="s">
        <v>89</v>
      </c>
      <c r="F42" s="14"/>
      <c r="G42" s="14"/>
      <c r="H42" s="14"/>
      <c r="I42" s="14">
        <v>700</v>
      </c>
      <c r="J42" s="14">
        <v>1</v>
      </c>
      <c r="K42" s="14" t="s">
        <v>48</v>
      </c>
      <c r="L42" s="14">
        <v>0</v>
      </c>
      <c r="M42" s="14">
        <v>800</v>
      </c>
      <c r="N42" s="16">
        <v>60000</v>
      </c>
      <c r="O42" s="14" t="s">
        <v>228</v>
      </c>
      <c r="P42" s="14"/>
      <c r="Q42" s="14"/>
      <c r="R42" s="16">
        <v>50</v>
      </c>
      <c r="S42" s="14"/>
      <c r="T42" s="25" t="s">
        <v>229</v>
      </c>
    </row>
    <row r="43" spans="1:20">
      <c r="A43" s="14">
        <v>422</v>
      </c>
      <c r="B43" s="14" t="s">
        <v>230</v>
      </c>
      <c r="C43" s="14">
        <v>3</v>
      </c>
      <c r="D43" s="14" t="s">
        <v>176</v>
      </c>
      <c r="E43" s="14" t="s">
        <v>89</v>
      </c>
      <c r="F43" s="14"/>
      <c r="G43" s="14"/>
      <c r="H43" s="14"/>
      <c r="I43" s="14">
        <v>700</v>
      </c>
      <c r="J43" s="14">
        <v>1</v>
      </c>
      <c r="K43" s="14" t="s">
        <v>48</v>
      </c>
      <c r="L43" s="14">
        <v>0</v>
      </c>
      <c r="M43" s="14">
        <v>800</v>
      </c>
      <c r="N43" s="16">
        <v>60000</v>
      </c>
      <c r="O43" s="14" t="s">
        <v>228</v>
      </c>
      <c r="P43" s="14"/>
      <c r="Q43" s="14"/>
      <c r="R43" s="16">
        <v>100</v>
      </c>
      <c r="S43" s="14"/>
      <c r="T43" s="25" t="s">
        <v>231</v>
      </c>
    </row>
    <row r="44" spans="1:20">
      <c r="A44" s="14">
        <v>423</v>
      </c>
      <c r="B44" s="14" t="s">
        <v>232</v>
      </c>
      <c r="C44" s="14">
        <v>3</v>
      </c>
      <c r="D44" s="14" t="s">
        <v>176</v>
      </c>
      <c r="E44" s="14" t="s">
        <v>89</v>
      </c>
      <c r="F44" s="14"/>
      <c r="G44" s="14"/>
      <c r="H44" s="14"/>
      <c r="I44" s="14">
        <v>700</v>
      </c>
      <c r="J44" s="14">
        <v>1</v>
      </c>
      <c r="K44" s="14" t="s">
        <v>48</v>
      </c>
      <c r="L44" s="14">
        <v>0</v>
      </c>
      <c r="M44" s="14">
        <v>800</v>
      </c>
      <c r="N44" s="16">
        <v>60000</v>
      </c>
      <c r="O44" s="14" t="s">
        <v>233</v>
      </c>
      <c r="P44" s="14"/>
      <c r="Q44" s="14"/>
      <c r="R44" s="16">
        <v>100</v>
      </c>
      <c r="S44" s="14"/>
      <c r="T44" s="25" t="s">
        <v>234</v>
      </c>
    </row>
    <row r="45" spans="1:20">
      <c r="A45" s="14">
        <v>424</v>
      </c>
      <c r="B45" s="14" t="s">
        <v>235</v>
      </c>
      <c r="C45" s="14">
        <v>3</v>
      </c>
      <c r="D45" s="14" t="s">
        <v>176</v>
      </c>
      <c r="E45" s="14" t="s">
        <v>89</v>
      </c>
      <c r="F45" s="14"/>
      <c r="G45" s="14"/>
      <c r="H45" s="14"/>
      <c r="I45" s="14">
        <v>700</v>
      </c>
      <c r="J45" s="14">
        <v>1</v>
      </c>
      <c r="K45" s="14" t="s">
        <v>48</v>
      </c>
      <c r="L45" s="14">
        <v>0</v>
      </c>
      <c r="M45" s="14">
        <v>800</v>
      </c>
      <c r="N45" s="16">
        <v>45000</v>
      </c>
      <c r="O45" s="14" t="s">
        <v>233</v>
      </c>
      <c r="P45" s="14"/>
      <c r="Q45" s="14"/>
      <c r="R45" s="16">
        <v>100</v>
      </c>
      <c r="S45" s="14"/>
      <c r="T45" s="25" t="s">
        <v>236</v>
      </c>
    </row>
    <row r="46" spans="1:20">
      <c r="A46" s="14">
        <v>431</v>
      </c>
      <c r="B46" s="14" t="s">
        <v>237</v>
      </c>
      <c r="C46" s="14">
        <v>1</v>
      </c>
      <c r="D46" s="14" t="s">
        <v>164</v>
      </c>
      <c r="E46" s="14" t="s">
        <v>54</v>
      </c>
      <c r="F46" s="14"/>
      <c r="G46" s="14"/>
      <c r="H46" s="14"/>
      <c r="I46" s="14">
        <v>700</v>
      </c>
      <c r="J46" s="14">
        <v>1</v>
      </c>
      <c r="K46" s="14" t="s">
        <v>48</v>
      </c>
      <c r="L46" s="14">
        <v>200</v>
      </c>
      <c r="M46" s="14">
        <v>700</v>
      </c>
      <c r="N46" s="16">
        <v>60000</v>
      </c>
      <c r="O46" s="14" t="s">
        <v>238</v>
      </c>
      <c r="P46" s="14" t="s">
        <v>239</v>
      </c>
      <c r="Q46" s="14"/>
      <c r="R46" s="16">
        <v>125</v>
      </c>
      <c r="S46" s="14" t="s">
        <v>78</v>
      </c>
      <c r="T46" s="27" t="s">
        <v>240</v>
      </c>
    </row>
    <row r="47" spans="1:20">
      <c r="A47" s="14">
        <v>432</v>
      </c>
      <c r="B47" s="14" t="s">
        <v>241</v>
      </c>
      <c r="C47" s="14">
        <v>1</v>
      </c>
      <c r="D47" s="14" t="s">
        <v>164</v>
      </c>
      <c r="E47" s="14" t="s">
        <v>54</v>
      </c>
      <c r="F47" s="14"/>
      <c r="G47" s="14"/>
      <c r="H47" s="14"/>
      <c r="I47" s="14">
        <v>700</v>
      </c>
      <c r="J47" s="14">
        <v>1</v>
      </c>
      <c r="K47" s="14" t="s">
        <v>48</v>
      </c>
      <c r="L47" s="14">
        <v>200</v>
      </c>
      <c r="M47" s="14">
        <v>700</v>
      </c>
      <c r="N47" s="16">
        <v>60000</v>
      </c>
      <c r="O47" s="14" t="s">
        <v>238</v>
      </c>
      <c r="P47" s="14" t="s">
        <v>242</v>
      </c>
      <c r="Q47" s="14"/>
      <c r="R47" s="16">
        <v>125</v>
      </c>
      <c r="S47" s="14" t="s">
        <v>78</v>
      </c>
      <c r="T47" s="27" t="s">
        <v>243</v>
      </c>
    </row>
    <row r="48" spans="1:20">
      <c r="A48" s="14">
        <v>433</v>
      </c>
      <c r="B48" s="14" t="s">
        <v>244</v>
      </c>
      <c r="C48" s="14">
        <v>1</v>
      </c>
      <c r="D48" s="14" t="s">
        <v>164</v>
      </c>
      <c r="E48" s="14" t="s">
        <v>54</v>
      </c>
      <c r="F48" s="14"/>
      <c r="G48" s="14"/>
      <c r="H48" s="14"/>
      <c r="I48" s="14">
        <v>700</v>
      </c>
      <c r="J48" s="14">
        <v>1</v>
      </c>
      <c r="K48" s="14" t="s">
        <v>48</v>
      </c>
      <c r="L48" s="14">
        <v>200</v>
      </c>
      <c r="M48" s="14">
        <v>700</v>
      </c>
      <c r="N48" s="16">
        <v>60000</v>
      </c>
      <c r="O48" s="14" t="s">
        <v>238</v>
      </c>
      <c r="P48" s="14" t="s">
        <v>245</v>
      </c>
      <c r="Q48" s="14"/>
      <c r="R48" s="16">
        <v>125</v>
      </c>
      <c r="S48" s="14" t="s">
        <v>78</v>
      </c>
      <c r="T48" s="27" t="s">
        <v>246</v>
      </c>
    </row>
    <row r="49" spans="1:20">
      <c r="A49" s="14">
        <v>434</v>
      </c>
      <c r="B49" s="14" t="s">
        <v>247</v>
      </c>
      <c r="C49" s="14">
        <v>1</v>
      </c>
      <c r="D49" s="14" t="s">
        <v>164</v>
      </c>
      <c r="E49" s="14" t="s">
        <v>54</v>
      </c>
      <c r="F49" s="14"/>
      <c r="G49" s="14"/>
      <c r="H49" s="14"/>
      <c r="I49" s="14">
        <v>700</v>
      </c>
      <c r="J49" s="14">
        <v>1</v>
      </c>
      <c r="K49" s="14" t="s">
        <v>48</v>
      </c>
      <c r="L49" s="14">
        <v>200</v>
      </c>
      <c r="M49" s="14">
        <v>700</v>
      </c>
      <c r="N49" s="16">
        <v>60000</v>
      </c>
      <c r="O49" s="14" t="s">
        <v>238</v>
      </c>
      <c r="P49" s="14" t="s">
        <v>248</v>
      </c>
      <c r="Q49" s="14"/>
      <c r="R49" s="16">
        <v>125</v>
      </c>
      <c r="S49" s="14" t="s">
        <v>78</v>
      </c>
      <c r="T49" s="27" t="s">
        <v>249</v>
      </c>
    </row>
    <row r="50" spans="1:20">
      <c r="A50" s="14">
        <v>441</v>
      </c>
      <c r="B50" s="14" t="s">
        <v>250</v>
      </c>
      <c r="C50" s="14">
        <v>2</v>
      </c>
      <c r="D50" s="14" t="s">
        <v>94</v>
      </c>
      <c r="E50" s="14" t="s">
        <v>62</v>
      </c>
      <c r="F50" s="14"/>
      <c r="G50" s="14"/>
      <c r="H50" s="14"/>
      <c r="I50" s="14">
        <v>4250</v>
      </c>
      <c r="J50" s="14">
        <v>1</v>
      </c>
      <c r="K50" s="14" t="s">
        <v>48</v>
      </c>
      <c r="L50" s="14">
        <v>200</v>
      </c>
      <c r="M50" s="14">
        <v>940</v>
      </c>
      <c r="N50" s="16">
        <v>60000</v>
      </c>
      <c r="O50" s="14" t="s">
        <v>95</v>
      </c>
      <c r="P50" s="14" t="s">
        <v>251</v>
      </c>
      <c r="Q50" s="14"/>
      <c r="R50" s="16">
        <v>150</v>
      </c>
      <c r="S50" s="14" t="s">
        <v>97</v>
      </c>
      <c r="T50" s="30" t="s">
        <v>252</v>
      </c>
    </row>
    <row r="51" spans="1:20">
      <c r="A51" s="14">
        <v>442</v>
      </c>
      <c r="B51" s="14" t="s">
        <v>253</v>
      </c>
      <c r="C51" s="14">
        <v>2</v>
      </c>
      <c r="D51" s="14" t="s">
        <v>94</v>
      </c>
      <c r="E51" s="14" t="s">
        <v>62</v>
      </c>
      <c r="F51" s="14"/>
      <c r="G51" s="14"/>
      <c r="H51" s="14"/>
      <c r="I51" s="14">
        <v>4250</v>
      </c>
      <c r="J51" s="14">
        <v>1</v>
      </c>
      <c r="K51" s="14" t="s">
        <v>48</v>
      </c>
      <c r="L51" s="14">
        <v>200</v>
      </c>
      <c r="M51" s="14">
        <v>940</v>
      </c>
      <c r="N51" s="16">
        <v>60000</v>
      </c>
      <c r="O51" s="14" t="s">
        <v>95</v>
      </c>
      <c r="P51" s="14" t="s">
        <v>251</v>
      </c>
      <c r="Q51" s="14"/>
      <c r="R51" s="16">
        <v>200</v>
      </c>
      <c r="S51" s="14" t="s">
        <v>97</v>
      </c>
      <c r="T51" s="30" t="s">
        <v>254</v>
      </c>
    </row>
    <row r="52" spans="1:20">
      <c r="A52" s="14">
        <v>443</v>
      </c>
      <c r="B52" s="14" t="s">
        <v>255</v>
      </c>
      <c r="C52" s="14">
        <v>2</v>
      </c>
      <c r="D52" s="14" t="s">
        <v>94</v>
      </c>
      <c r="E52" s="14" t="s">
        <v>62</v>
      </c>
      <c r="F52" s="14"/>
      <c r="G52" s="14"/>
      <c r="H52" s="14"/>
      <c r="I52" s="14">
        <v>4250</v>
      </c>
      <c r="J52" s="14">
        <v>1</v>
      </c>
      <c r="K52" s="14" t="s">
        <v>48</v>
      </c>
      <c r="L52" s="14">
        <v>200</v>
      </c>
      <c r="M52" s="14">
        <v>940</v>
      </c>
      <c r="N52" s="16">
        <v>60000</v>
      </c>
      <c r="O52" s="14" t="s">
        <v>95</v>
      </c>
      <c r="P52" s="14" t="s">
        <v>251</v>
      </c>
      <c r="Q52" s="14"/>
      <c r="R52" s="16">
        <v>200</v>
      </c>
      <c r="S52" s="14" t="s">
        <v>97</v>
      </c>
      <c r="T52" s="30" t="s">
        <v>256</v>
      </c>
    </row>
    <row r="53" spans="1:20">
      <c r="A53" s="14">
        <v>444</v>
      </c>
      <c r="B53" s="14" t="s">
        <v>257</v>
      </c>
      <c r="C53" s="14">
        <v>2</v>
      </c>
      <c r="D53" s="14" t="s">
        <v>94</v>
      </c>
      <c r="E53" s="14" t="s">
        <v>62</v>
      </c>
      <c r="F53" s="14"/>
      <c r="G53" s="14"/>
      <c r="H53" s="14"/>
      <c r="I53" s="14">
        <v>4250</v>
      </c>
      <c r="J53" s="14">
        <v>1</v>
      </c>
      <c r="K53" s="14" t="s">
        <v>48</v>
      </c>
      <c r="L53" s="14">
        <v>200</v>
      </c>
      <c r="M53" s="14">
        <v>940</v>
      </c>
      <c r="N53" s="16">
        <v>45000</v>
      </c>
      <c r="O53" s="14" t="s">
        <v>95</v>
      </c>
      <c r="P53" s="14" t="s">
        <v>258</v>
      </c>
      <c r="Q53" s="14"/>
      <c r="R53" s="16">
        <v>200</v>
      </c>
      <c r="S53" s="14" t="s">
        <v>97</v>
      </c>
      <c r="T53" s="30" t="s">
        <v>259</v>
      </c>
    </row>
    <row r="54" spans="1:20">
      <c r="A54" s="14">
        <v>451</v>
      </c>
      <c r="B54" s="14" t="s">
        <v>260</v>
      </c>
      <c r="C54" s="14">
        <v>3</v>
      </c>
      <c r="D54" s="14" t="s">
        <v>185</v>
      </c>
      <c r="E54" s="14" t="s">
        <v>82</v>
      </c>
      <c r="F54" s="14"/>
      <c r="G54" s="14"/>
      <c r="H54" s="14"/>
      <c r="I54" s="14">
        <v>4250</v>
      </c>
      <c r="J54" s="14">
        <v>1</v>
      </c>
      <c r="K54" s="14" t="s">
        <v>48</v>
      </c>
      <c r="L54" s="14">
        <v>200</v>
      </c>
      <c r="M54" s="14">
        <v>700</v>
      </c>
      <c r="N54" s="16">
        <v>60000</v>
      </c>
      <c r="O54" s="14" t="s">
        <v>261</v>
      </c>
      <c r="P54" s="14"/>
      <c r="Q54" s="14"/>
      <c r="R54" s="16">
        <v>75</v>
      </c>
      <c r="S54" s="14" t="s">
        <v>102</v>
      </c>
      <c r="T54" s="31" t="s">
        <v>262</v>
      </c>
    </row>
    <row r="55" spans="1:20">
      <c r="A55" s="14">
        <v>452</v>
      </c>
      <c r="B55" s="14" t="s">
        <v>263</v>
      </c>
      <c r="C55" s="14">
        <v>3</v>
      </c>
      <c r="D55" s="14" t="s">
        <v>185</v>
      </c>
      <c r="E55" s="14" t="s">
        <v>82</v>
      </c>
      <c r="F55" s="14"/>
      <c r="G55" s="14"/>
      <c r="H55" s="14"/>
      <c r="I55" s="14">
        <v>4250</v>
      </c>
      <c r="J55" s="14">
        <v>1</v>
      </c>
      <c r="K55" s="14" t="s">
        <v>48</v>
      </c>
      <c r="L55" s="14">
        <v>200</v>
      </c>
      <c r="M55" s="14">
        <v>700</v>
      </c>
      <c r="N55" s="16">
        <v>60000</v>
      </c>
      <c r="O55" s="14" t="s">
        <v>261</v>
      </c>
      <c r="P55" s="14">
        <v>40105</v>
      </c>
      <c r="Q55" s="14"/>
      <c r="R55" s="16">
        <v>125</v>
      </c>
      <c r="S55" s="14" t="s">
        <v>102</v>
      </c>
      <c r="T55" s="31" t="s">
        <v>264</v>
      </c>
    </row>
    <row r="56" spans="1:20">
      <c r="A56" s="14">
        <v>453</v>
      </c>
      <c r="B56" s="14" t="s">
        <v>265</v>
      </c>
      <c r="C56" s="14">
        <v>3</v>
      </c>
      <c r="D56" s="14" t="s">
        <v>185</v>
      </c>
      <c r="E56" s="14" t="s">
        <v>82</v>
      </c>
      <c r="F56" s="14"/>
      <c r="G56" s="14"/>
      <c r="H56" s="14"/>
      <c r="I56" s="14">
        <v>4250</v>
      </c>
      <c r="J56" s="14">
        <v>1</v>
      </c>
      <c r="K56" s="14" t="s">
        <v>48</v>
      </c>
      <c r="L56" s="14">
        <v>200</v>
      </c>
      <c r="M56" s="14">
        <v>700</v>
      </c>
      <c r="N56" s="16">
        <v>60000</v>
      </c>
      <c r="O56" s="14" t="s">
        <v>266</v>
      </c>
      <c r="P56" s="14">
        <v>40107</v>
      </c>
      <c r="Q56" s="14"/>
      <c r="R56" s="16">
        <v>125</v>
      </c>
      <c r="S56" s="14" t="s">
        <v>102</v>
      </c>
      <c r="T56" s="31" t="s">
        <v>267</v>
      </c>
    </row>
    <row r="57" spans="1:20">
      <c r="A57" s="14">
        <v>454</v>
      </c>
      <c r="B57" s="14" t="s">
        <v>268</v>
      </c>
      <c r="C57" s="14">
        <v>3</v>
      </c>
      <c r="D57" s="14" t="s">
        <v>185</v>
      </c>
      <c r="E57" s="14" t="s">
        <v>82</v>
      </c>
      <c r="F57" s="14"/>
      <c r="G57" s="14"/>
      <c r="H57" s="14"/>
      <c r="I57" s="14">
        <v>4250</v>
      </c>
      <c r="J57" s="14">
        <v>1</v>
      </c>
      <c r="K57" s="14" t="s">
        <v>48</v>
      </c>
      <c r="L57" s="14">
        <v>200</v>
      </c>
      <c r="M57" s="14">
        <v>700</v>
      </c>
      <c r="N57" s="16">
        <v>60000</v>
      </c>
      <c r="O57" s="14" t="s">
        <v>266</v>
      </c>
      <c r="P57" s="14"/>
      <c r="Q57" s="14"/>
      <c r="R57" s="16">
        <v>125</v>
      </c>
      <c r="S57" s="14" t="s">
        <v>102</v>
      </c>
      <c r="T57" s="31" t="s">
        <v>269</v>
      </c>
    </row>
    <row r="58" spans="1:20">
      <c r="A58" s="14">
        <v>461</v>
      </c>
      <c r="B58" s="14" t="s">
        <v>270</v>
      </c>
      <c r="C58" s="14">
        <v>2</v>
      </c>
      <c r="D58" s="14" t="s">
        <v>159</v>
      </c>
      <c r="E58" s="14" t="s">
        <v>69</v>
      </c>
      <c r="F58" s="14"/>
      <c r="G58" s="14"/>
      <c r="H58" s="14"/>
      <c r="I58" s="14">
        <v>4800</v>
      </c>
      <c r="J58" s="14">
        <v>1</v>
      </c>
      <c r="K58" s="14" t="s">
        <v>48</v>
      </c>
      <c r="L58" s="14">
        <v>400</v>
      </c>
      <c r="M58" s="14">
        <v>940</v>
      </c>
      <c r="N58" s="16">
        <v>60000</v>
      </c>
      <c r="O58" s="14"/>
      <c r="P58" s="14" t="s">
        <v>70</v>
      </c>
      <c r="Q58" s="14"/>
      <c r="R58" s="16">
        <v>100</v>
      </c>
      <c r="S58" s="14" t="s">
        <v>71</v>
      </c>
      <c r="T58" s="31" t="s">
        <v>271</v>
      </c>
    </row>
    <row r="59" spans="1:20">
      <c r="A59" s="14">
        <v>462</v>
      </c>
      <c r="B59" s="14" t="s">
        <v>272</v>
      </c>
      <c r="C59" s="14">
        <v>2</v>
      </c>
      <c r="D59" s="14" t="s">
        <v>159</v>
      </c>
      <c r="E59" s="14" t="s">
        <v>69</v>
      </c>
      <c r="F59" s="14"/>
      <c r="G59" s="14"/>
      <c r="H59" s="14"/>
      <c r="I59" s="14">
        <v>4800</v>
      </c>
      <c r="J59" s="14">
        <v>1</v>
      </c>
      <c r="K59" s="14" t="s">
        <v>48</v>
      </c>
      <c r="L59" s="14">
        <v>400</v>
      </c>
      <c r="M59" s="14">
        <v>940</v>
      </c>
      <c r="N59" s="16">
        <v>60000</v>
      </c>
      <c r="O59" s="14"/>
      <c r="P59" s="14" t="s">
        <v>70</v>
      </c>
      <c r="Q59" s="14"/>
      <c r="R59" s="16">
        <v>150</v>
      </c>
      <c r="S59" s="14" t="s">
        <v>71</v>
      </c>
      <c r="T59" s="31" t="s">
        <v>273</v>
      </c>
    </row>
    <row r="60" spans="1:20">
      <c r="A60" s="14">
        <v>463</v>
      </c>
      <c r="B60" s="14" t="s">
        <v>274</v>
      </c>
      <c r="C60" s="14">
        <v>2</v>
      </c>
      <c r="D60" s="14" t="s">
        <v>159</v>
      </c>
      <c r="E60" s="14" t="s">
        <v>69</v>
      </c>
      <c r="F60" s="14"/>
      <c r="G60" s="14"/>
      <c r="H60" s="14"/>
      <c r="I60" s="14">
        <v>4800</v>
      </c>
      <c r="J60" s="14">
        <v>1</v>
      </c>
      <c r="K60" s="14" t="s">
        <v>48</v>
      </c>
      <c r="L60" s="14">
        <v>400</v>
      </c>
      <c r="M60" s="14">
        <v>940</v>
      </c>
      <c r="N60" s="16">
        <v>60000</v>
      </c>
      <c r="O60" s="14"/>
      <c r="P60" s="14" t="s">
        <v>70</v>
      </c>
      <c r="Q60" s="14"/>
      <c r="R60" s="16">
        <v>200</v>
      </c>
      <c r="S60" s="14" t="s">
        <v>71</v>
      </c>
      <c r="T60" s="31" t="s">
        <v>275</v>
      </c>
    </row>
    <row r="61" spans="1:20">
      <c r="A61" s="14">
        <v>464</v>
      </c>
      <c r="B61" s="14" t="s">
        <v>276</v>
      </c>
      <c r="C61" s="14">
        <v>2</v>
      </c>
      <c r="D61" s="14" t="s">
        <v>159</v>
      </c>
      <c r="E61" s="14" t="s">
        <v>69</v>
      </c>
      <c r="F61" s="14"/>
      <c r="G61" s="14"/>
      <c r="H61" s="14"/>
      <c r="I61" s="14">
        <v>4800</v>
      </c>
      <c r="J61" s="14">
        <v>1</v>
      </c>
      <c r="K61" s="14" t="s">
        <v>48</v>
      </c>
      <c r="L61" s="14">
        <v>400</v>
      </c>
      <c r="M61" s="14">
        <v>940</v>
      </c>
      <c r="N61" s="16">
        <v>45000</v>
      </c>
      <c r="O61" s="14"/>
      <c r="P61" s="14" t="s">
        <v>70</v>
      </c>
      <c r="Q61" s="14"/>
      <c r="R61" s="16">
        <v>200</v>
      </c>
      <c r="S61" s="14" t="s">
        <v>71</v>
      </c>
      <c r="T61" s="31" t="s">
        <v>277</v>
      </c>
    </row>
    <row r="62" spans="1:20">
      <c r="A62" s="14">
        <v>471</v>
      </c>
      <c r="B62" s="14" t="s">
        <v>278</v>
      </c>
      <c r="C62" s="14">
        <v>1</v>
      </c>
      <c r="D62" s="14" t="s">
        <v>203</v>
      </c>
      <c r="E62" s="14" t="s">
        <v>54</v>
      </c>
      <c r="F62" s="14"/>
      <c r="G62" s="14"/>
      <c r="H62" s="14"/>
      <c r="I62" s="14">
        <v>2600</v>
      </c>
      <c r="J62" s="14">
        <v>1</v>
      </c>
      <c r="K62" s="14" t="s">
        <v>48</v>
      </c>
      <c r="L62" s="14">
        <v>200</v>
      </c>
      <c r="M62" s="14">
        <v>700</v>
      </c>
      <c r="N62" s="16">
        <v>40000</v>
      </c>
      <c r="O62" s="14" t="s">
        <v>279</v>
      </c>
      <c r="P62" s="14"/>
      <c r="Q62" s="14"/>
      <c r="R62" s="16">
        <v>150</v>
      </c>
      <c r="S62" s="14" t="s">
        <v>124</v>
      </c>
      <c r="T62" s="32" t="s">
        <v>280</v>
      </c>
    </row>
    <row r="63" spans="1:20">
      <c r="A63" s="14">
        <v>472</v>
      </c>
      <c r="B63" s="14" t="s">
        <v>281</v>
      </c>
      <c r="C63" s="14">
        <v>1</v>
      </c>
      <c r="D63" s="14" t="s">
        <v>203</v>
      </c>
      <c r="E63" s="14" t="s">
        <v>54</v>
      </c>
      <c r="F63" s="14"/>
      <c r="G63" s="14"/>
      <c r="H63" s="14"/>
      <c r="I63" s="14">
        <v>2600</v>
      </c>
      <c r="J63" s="14">
        <v>1</v>
      </c>
      <c r="K63" s="14" t="s">
        <v>48</v>
      </c>
      <c r="L63" s="14">
        <v>200</v>
      </c>
      <c r="M63" s="14">
        <v>700</v>
      </c>
      <c r="N63" s="16">
        <v>40000</v>
      </c>
      <c r="O63" s="14" t="s">
        <v>279</v>
      </c>
      <c r="P63" s="14"/>
      <c r="Q63" s="14"/>
      <c r="R63" s="16">
        <v>200</v>
      </c>
      <c r="S63" s="14" t="s">
        <v>124</v>
      </c>
      <c r="T63" s="32" t="s">
        <v>282</v>
      </c>
    </row>
    <row r="64" spans="1:20">
      <c r="A64" s="14">
        <v>473</v>
      </c>
      <c r="B64" s="14" t="s">
        <v>283</v>
      </c>
      <c r="C64" s="14">
        <v>1</v>
      </c>
      <c r="D64" s="14" t="s">
        <v>203</v>
      </c>
      <c r="E64" s="14" t="s">
        <v>54</v>
      </c>
      <c r="F64" s="14"/>
      <c r="G64" s="14"/>
      <c r="H64" s="14"/>
      <c r="I64" s="14">
        <v>2600</v>
      </c>
      <c r="J64" s="14">
        <v>1</v>
      </c>
      <c r="K64" s="14" t="s">
        <v>48</v>
      </c>
      <c r="L64" s="14">
        <v>200</v>
      </c>
      <c r="M64" s="14">
        <v>700</v>
      </c>
      <c r="N64" s="16">
        <v>40000</v>
      </c>
      <c r="O64" s="14" t="s">
        <v>279</v>
      </c>
      <c r="P64" s="14">
        <v>40102</v>
      </c>
      <c r="Q64" s="14"/>
      <c r="R64" s="16">
        <v>200</v>
      </c>
      <c r="S64" s="14" t="s">
        <v>124</v>
      </c>
      <c r="T64" s="32" t="s">
        <v>284</v>
      </c>
    </row>
    <row r="65" spans="1:20">
      <c r="A65" s="14">
        <v>474</v>
      </c>
      <c r="B65" s="14" t="s">
        <v>285</v>
      </c>
      <c r="C65" s="14">
        <v>1</v>
      </c>
      <c r="D65" s="14" t="s">
        <v>203</v>
      </c>
      <c r="E65" s="14" t="s">
        <v>54</v>
      </c>
      <c r="F65" s="14"/>
      <c r="G65" s="14"/>
      <c r="H65" s="14"/>
      <c r="I65" s="14">
        <v>2600</v>
      </c>
      <c r="J65" s="14">
        <v>1</v>
      </c>
      <c r="K65" s="14" t="s">
        <v>48</v>
      </c>
      <c r="L65" s="14">
        <v>200</v>
      </c>
      <c r="M65" s="14">
        <v>700</v>
      </c>
      <c r="N65" s="16">
        <v>30000</v>
      </c>
      <c r="O65" s="14" t="s">
        <v>279</v>
      </c>
      <c r="P65" s="14">
        <v>40102</v>
      </c>
      <c r="Q65" s="14"/>
      <c r="R65" s="16">
        <v>200</v>
      </c>
      <c r="S65" s="14" t="s">
        <v>124</v>
      </c>
      <c r="T65" s="32" t="s">
        <v>286</v>
      </c>
    </row>
    <row r="66" spans="1:20">
      <c r="A66" s="14">
        <v>481</v>
      </c>
      <c r="B66" s="14" t="s">
        <v>287</v>
      </c>
      <c r="C66" s="14">
        <v>3</v>
      </c>
      <c r="D66" s="14" t="s">
        <v>110</v>
      </c>
      <c r="E66" s="14" t="s">
        <v>111</v>
      </c>
      <c r="F66" s="14"/>
      <c r="G66" s="14"/>
      <c r="H66" s="14"/>
      <c r="I66" s="14">
        <v>4250</v>
      </c>
      <c r="J66" s="14">
        <v>1</v>
      </c>
      <c r="K66" s="14" t="s">
        <v>48</v>
      </c>
      <c r="L66" s="14">
        <v>200</v>
      </c>
      <c r="M66" s="14">
        <v>700</v>
      </c>
      <c r="N66" s="16">
        <v>60000</v>
      </c>
      <c r="O66" s="14" t="s">
        <v>288</v>
      </c>
      <c r="P66" s="14">
        <v>21001</v>
      </c>
      <c r="Q66" s="14"/>
      <c r="R66" s="16">
        <v>50</v>
      </c>
      <c r="S66" s="14" t="s">
        <v>113</v>
      </c>
      <c r="T66" s="31" t="s">
        <v>289</v>
      </c>
    </row>
    <row r="67" spans="1:20">
      <c r="A67" s="14">
        <v>482</v>
      </c>
      <c r="B67" s="14" t="s">
        <v>290</v>
      </c>
      <c r="C67" s="14">
        <v>3</v>
      </c>
      <c r="D67" s="14" t="s">
        <v>110</v>
      </c>
      <c r="E67" s="14" t="s">
        <v>111</v>
      </c>
      <c r="F67" s="14"/>
      <c r="G67" s="14"/>
      <c r="H67" s="14"/>
      <c r="I67" s="14">
        <v>4250</v>
      </c>
      <c r="J67" s="14">
        <v>1</v>
      </c>
      <c r="K67" s="14" t="s">
        <v>48</v>
      </c>
      <c r="L67" s="14">
        <v>200</v>
      </c>
      <c r="M67" s="14">
        <v>700</v>
      </c>
      <c r="N67" s="16">
        <v>60000</v>
      </c>
      <c r="O67" s="14" t="s">
        <v>288</v>
      </c>
      <c r="P67" s="14">
        <v>21001</v>
      </c>
      <c r="Q67" s="14"/>
      <c r="R67" s="16">
        <v>100</v>
      </c>
      <c r="S67" s="14" t="s">
        <v>113</v>
      </c>
      <c r="T67" s="31" t="s">
        <v>291</v>
      </c>
    </row>
    <row r="68" spans="1:20">
      <c r="A68" s="14">
        <v>483</v>
      </c>
      <c r="B68" s="14" t="s">
        <v>292</v>
      </c>
      <c r="C68" s="14">
        <v>3</v>
      </c>
      <c r="D68" s="14" t="s">
        <v>110</v>
      </c>
      <c r="E68" s="14" t="s">
        <v>111</v>
      </c>
      <c r="F68" s="14"/>
      <c r="G68" s="14"/>
      <c r="H68" s="14"/>
      <c r="I68" s="14">
        <v>4250</v>
      </c>
      <c r="J68" s="14">
        <v>1</v>
      </c>
      <c r="K68" s="14" t="s">
        <v>48</v>
      </c>
      <c r="L68" s="14">
        <v>200</v>
      </c>
      <c r="M68" s="14">
        <v>700</v>
      </c>
      <c r="N68" s="16">
        <v>60000</v>
      </c>
      <c r="O68" s="14" t="s">
        <v>288</v>
      </c>
      <c r="P68" s="14">
        <v>21001</v>
      </c>
      <c r="Q68" s="14"/>
      <c r="R68" s="16">
        <v>100</v>
      </c>
      <c r="S68" s="14" t="s">
        <v>113</v>
      </c>
      <c r="T68" s="31" t="s">
        <v>293</v>
      </c>
    </row>
    <row r="69" spans="1:20">
      <c r="A69" s="14">
        <v>484</v>
      </c>
      <c r="B69" s="14" t="s">
        <v>294</v>
      </c>
      <c r="C69" s="14">
        <v>3</v>
      </c>
      <c r="D69" s="14" t="s">
        <v>110</v>
      </c>
      <c r="E69" s="14" t="s">
        <v>111</v>
      </c>
      <c r="F69" s="14"/>
      <c r="G69" s="14"/>
      <c r="H69" s="14"/>
      <c r="I69" s="14">
        <v>4250</v>
      </c>
      <c r="J69" s="14">
        <v>1</v>
      </c>
      <c r="K69" s="14" t="s">
        <v>48</v>
      </c>
      <c r="L69" s="14">
        <v>200</v>
      </c>
      <c r="M69" s="14">
        <v>700</v>
      </c>
      <c r="N69" s="16">
        <v>45000</v>
      </c>
      <c r="O69" s="14" t="s">
        <v>288</v>
      </c>
      <c r="P69" s="14">
        <v>21001</v>
      </c>
      <c r="Q69" s="14"/>
      <c r="R69" s="16">
        <v>100</v>
      </c>
      <c r="S69" s="14" t="s">
        <v>113</v>
      </c>
      <c r="T69" s="31" t="s">
        <v>295</v>
      </c>
    </row>
    <row r="70" spans="1:20">
      <c r="A70" s="14">
        <v>511</v>
      </c>
      <c r="B70" s="14" t="s">
        <v>296</v>
      </c>
      <c r="C70" s="14">
        <v>1</v>
      </c>
      <c r="D70" s="14"/>
      <c r="E70" s="14" t="s">
        <v>54</v>
      </c>
      <c r="F70" s="14"/>
      <c r="G70" s="14"/>
      <c r="H70" s="14"/>
      <c r="I70" s="14">
        <v>-1</v>
      </c>
      <c r="J70" s="14">
        <v>1</v>
      </c>
      <c r="K70" s="14" t="s">
        <v>48</v>
      </c>
      <c r="L70" s="14"/>
      <c r="M70" s="14"/>
      <c r="N70" s="14">
        <v>-1</v>
      </c>
      <c r="O70" s="23" t="s">
        <v>297</v>
      </c>
      <c r="P70" s="14"/>
      <c r="Q70" s="14"/>
      <c r="R70" s="14">
        <v>125</v>
      </c>
      <c r="S70" s="14"/>
      <c r="T70" s="25" t="s">
        <v>298</v>
      </c>
    </row>
    <row r="71" spans="1:20">
      <c r="A71" s="14">
        <v>512</v>
      </c>
      <c r="B71" s="14" t="s">
        <v>299</v>
      </c>
      <c r="C71" s="14">
        <v>1</v>
      </c>
      <c r="D71" s="14"/>
      <c r="E71" s="14" t="s">
        <v>54</v>
      </c>
      <c r="F71" s="14"/>
      <c r="G71" s="14"/>
      <c r="H71" s="14"/>
      <c r="I71" s="14">
        <v>-1</v>
      </c>
      <c r="J71" s="14">
        <v>1</v>
      </c>
      <c r="K71" s="14" t="s">
        <v>48</v>
      </c>
      <c r="L71" s="14"/>
      <c r="M71" s="14"/>
      <c r="N71" s="14">
        <v>-1</v>
      </c>
      <c r="O71" s="23" t="s">
        <v>297</v>
      </c>
      <c r="P71" s="14"/>
      <c r="Q71" s="14"/>
      <c r="R71" s="14">
        <v>175</v>
      </c>
      <c r="S71" s="14"/>
      <c r="T71" s="25" t="s">
        <v>300</v>
      </c>
    </row>
    <row r="72" spans="1:20">
      <c r="A72" s="14">
        <v>513</v>
      </c>
      <c r="B72" s="14" t="s">
        <v>301</v>
      </c>
      <c r="C72" s="14">
        <v>1</v>
      </c>
      <c r="D72" s="14"/>
      <c r="E72" s="14" t="s">
        <v>54</v>
      </c>
      <c r="F72" s="14"/>
      <c r="G72" s="14"/>
      <c r="H72" s="14"/>
      <c r="I72" s="14">
        <v>-1</v>
      </c>
      <c r="J72" s="14">
        <v>1</v>
      </c>
      <c r="K72" s="14" t="s">
        <v>48</v>
      </c>
      <c r="L72" s="14"/>
      <c r="M72" s="14"/>
      <c r="N72" s="14">
        <v>-1</v>
      </c>
      <c r="O72" s="23" t="s">
        <v>302</v>
      </c>
      <c r="P72" s="14"/>
      <c r="Q72" s="14"/>
      <c r="R72" s="14">
        <v>125</v>
      </c>
      <c r="S72" s="14"/>
      <c r="T72" s="25" t="s">
        <v>303</v>
      </c>
    </row>
    <row r="73" spans="1:20">
      <c r="A73" s="14">
        <v>514</v>
      </c>
      <c r="B73" s="14" t="s">
        <v>304</v>
      </c>
      <c r="C73" s="14">
        <v>1</v>
      </c>
      <c r="D73" s="14"/>
      <c r="E73" s="14" t="s">
        <v>54</v>
      </c>
      <c r="F73" s="14"/>
      <c r="G73" s="14"/>
      <c r="H73" s="14"/>
      <c r="I73" s="14">
        <v>-1</v>
      </c>
      <c r="J73" s="14">
        <v>1</v>
      </c>
      <c r="K73" s="14" t="s">
        <v>48</v>
      </c>
      <c r="L73" s="14"/>
      <c r="M73" s="14"/>
      <c r="N73" s="14">
        <v>-1</v>
      </c>
      <c r="O73" s="23" t="s">
        <v>302</v>
      </c>
      <c r="P73" s="14"/>
      <c r="Q73" s="14">
        <v>40001</v>
      </c>
      <c r="R73" s="14">
        <v>125</v>
      </c>
      <c r="S73" s="14"/>
      <c r="T73" s="25" t="s">
        <v>305</v>
      </c>
    </row>
    <row r="74" spans="1:20">
      <c r="A74" s="14">
        <v>611</v>
      </c>
      <c r="B74" s="14" t="s">
        <v>306</v>
      </c>
      <c r="C74" s="14">
        <v>1</v>
      </c>
      <c r="D74" s="14"/>
      <c r="E74" s="14" t="s">
        <v>46</v>
      </c>
      <c r="F74" s="14"/>
      <c r="G74" s="14"/>
      <c r="H74" s="14"/>
      <c r="I74" s="14">
        <v>-1</v>
      </c>
      <c r="J74" s="14">
        <v>1</v>
      </c>
      <c r="K74" s="14" t="s">
        <v>48</v>
      </c>
      <c r="L74" s="14"/>
      <c r="M74" s="14"/>
      <c r="N74" s="14">
        <v>-1</v>
      </c>
      <c r="O74" s="23" t="s">
        <v>307</v>
      </c>
      <c r="P74" s="14"/>
      <c r="Q74" s="14"/>
      <c r="R74" s="14">
        <v>100</v>
      </c>
      <c r="S74" s="14"/>
      <c r="T74" s="31" t="s">
        <v>308</v>
      </c>
    </row>
    <row r="75" spans="1:20">
      <c r="A75" s="14">
        <v>612</v>
      </c>
      <c r="B75" s="14" t="s">
        <v>309</v>
      </c>
      <c r="C75" s="14">
        <v>1</v>
      </c>
      <c r="D75" s="14"/>
      <c r="E75" s="14" t="s">
        <v>46</v>
      </c>
      <c r="F75" s="14"/>
      <c r="G75" s="14"/>
      <c r="H75" s="14"/>
      <c r="I75" s="14">
        <v>-1</v>
      </c>
      <c r="J75" s="14">
        <v>1</v>
      </c>
      <c r="K75" s="14" t="s">
        <v>48</v>
      </c>
      <c r="L75" s="14"/>
      <c r="M75" s="14"/>
      <c r="N75" s="14">
        <v>-1</v>
      </c>
      <c r="O75" s="23" t="s">
        <v>307</v>
      </c>
      <c r="P75" s="14"/>
      <c r="Q75" s="14"/>
      <c r="R75" s="14">
        <v>150</v>
      </c>
      <c r="S75" s="14"/>
      <c r="T75" s="31" t="s">
        <v>310</v>
      </c>
    </row>
    <row r="76" spans="1:20">
      <c r="A76" s="14">
        <v>613</v>
      </c>
      <c r="B76" s="14" t="s">
        <v>311</v>
      </c>
      <c r="C76" s="14">
        <v>1</v>
      </c>
      <c r="D76" s="14"/>
      <c r="E76" s="14" t="s">
        <v>46</v>
      </c>
      <c r="F76" s="14"/>
      <c r="G76" s="14"/>
      <c r="H76" s="14"/>
      <c r="I76" s="14">
        <v>-1</v>
      </c>
      <c r="J76" s="14">
        <v>1</v>
      </c>
      <c r="K76" s="14" t="s">
        <v>48</v>
      </c>
      <c r="L76" s="14"/>
      <c r="M76" s="14"/>
      <c r="N76" s="14">
        <v>-1</v>
      </c>
      <c r="O76" s="23" t="s">
        <v>312</v>
      </c>
      <c r="P76" s="14"/>
      <c r="Q76" s="14"/>
      <c r="R76" s="14">
        <v>150</v>
      </c>
      <c r="S76" s="14"/>
      <c r="T76" s="31" t="s">
        <v>313</v>
      </c>
    </row>
    <row r="77" spans="1:20">
      <c r="A77" s="14">
        <v>614</v>
      </c>
      <c r="B77" s="14" t="s">
        <v>314</v>
      </c>
      <c r="C77" s="14">
        <v>1</v>
      </c>
      <c r="D77" s="14"/>
      <c r="E77" s="14" t="s">
        <v>46</v>
      </c>
      <c r="F77" s="14"/>
      <c r="G77" s="14"/>
      <c r="H77" s="14"/>
      <c r="I77" s="14">
        <v>-1</v>
      </c>
      <c r="J77" s="14">
        <v>1</v>
      </c>
      <c r="K77" s="14" t="s">
        <v>48</v>
      </c>
      <c r="L77" s="14"/>
      <c r="M77" s="14"/>
      <c r="N77" s="14">
        <v>-1</v>
      </c>
      <c r="O77" s="23" t="s">
        <v>315</v>
      </c>
      <c r="P77" s="14"/>
      <c r="Q77" s="14"/>
      <c r="R77" s="14">
        <v>150</v>
      </c>
      <c r="S77" s="14"/>
      <c r="T77" s="31" t="s">
        <v>316</v>
      </c>
    </row>
  </sheetData>
  <autoFilter ref="A1:T77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G5:W29"/>
  <sheetViews>
    <sheetView workbookViewId="0">
      <selection activeCell="B46" sqref="B46"/>
    </sheetView>
  </sheetViews>
  <sheetFormatPr defaultColWidth="8.66666666666667" defaultRowHeight="14"/>
  <cols>
    <col min="9" max="9" width="12.6666666666667"/>
    <col min="10" max="10" width="9.41666666666667"/>
    <col min="14" max="17" width="12.6666666666667"/>
  </cols>
  <sheetData>
    <row r="5" spans="8:10">
      <c r="H5" s="1">
        <v>958</v>
      </c>
      <c r="J5">
        <f>H5*1.25</f>
        <v>1197.5</v>
      </c>
    </row>
    <row r="7" spans="15:15">
      <c r="O7" t="s">
        <v>317</v>
      </c>
    </row>
    <row r="8" spans="14:16">
      <c r="N8" s="1" t="s">
        <v>318</v>
      </c>
      <c r="O8" s="1">
        <v>1</v>
      </c>
      <c r="P8" s="1">
        <f>H5*O8*0.08*8</f>
        <v>613.12</v>
      </c>
    </row>
    <row r="9" spans="8:21">
      <c r="H9" s="1" t="s">
        <v>319</v>
      </c>
      <c r="I9" s="1" t="s">
        <v>320</v>
      </c>
      <c r="N9" s="1" t="s">
        <v>321</v>
      </c>
      <c r="O9" s="1">
        <v>0.75</v>
      </c>
      <c r="P9" s="1">
        <f>H5*O9*0.08*8</f>
        <v>459.84</v>
      </c>
      <c r="S9" s="1" t="s">
        <v>322</v>
      </c>
      <c r="T9" s="1" t="s">
        <v>322</v>
      </c>
      <c r="U9" s="1" t="s">
        <v>323</v>
      </c>
    </row>
    <row r="10" spans="8:16">
      <c r="H10" s="1">
        <v>1197</v>
      </c>
      <c r="I10" s="1">
        <v>766.4</v>
      </c>
      <c r="K10">
        <f>H10*0.8</f>
        <v>957.6</v>
      </c>
      <c r="N10" s="1" t="s">
        <v>324</v>
      </c>
      <c r="O10" s="1">
        <v>1.25</v>
      </c>
      <c r="P10" s="1">
        <f>O10*0.08*8*H5</f>
        <v>766.4</v>
      </c>
    </row>
    <row r="11" spans="19:23">
      <c r="S11" s="3" t="s">
        <v>325</v>
      </c>
      <c r="T11" s="3" t="s">
        <v>326</v>
      </c>
      <c r="U11" s="3" t="s">
        <v>327</v>
      </c>
      <c r="V11" s="3" t="s">
        <v>328</v>
      </c>
      <c r="W11" s="3" t="s">
        <v>329</v>
      </c>
    </row>
    <row r="12" spans="8:23">
      <c r="H12" s="1" t="s">
        <v>319</v>
      </c>
      <c r="I12" s="1" t="s">
        <v>320</v>
      </c>
      <c r="Q12">
        <v>2</v>
      </c>
      <c r="R12" s="3">
        <v>1</v>
      </c>
      <c r="S12" s="3">
        <v>-0.1</v>
      </c>
      <c r="T12" s="3">
        <v>1</v>
      </c>
      <c r="U12" s="3"/>
      <c r="V12" s="3"/>
      <c r="W12" s="3"/>
    </row>
    <row r="13" spans="8:23">
      <c r="H13" s="1">
        <v>958</v>
      </c>
      <c r="I13" s="1">
        <v>613.1</v>
      </c>
      <c r="J13">
        <f>H13*0.08*8</f>
        <v>613.12</v>
      </c>
      <c r="Q13">
        <v>6.2</v>
      </c>
      <c r="R13" s="3">
        <v>2</v>
      </c>
      <c r="S13" s="3">
        <v>-0.3</v>
      </c>
      <c r="T13" s="3"/>
      <c r="U13" s="3">
        <v>20</v>
      </c>
      <c r="V13" s="3"/>
      <c r="W13" s="3"/>
    </row>
    <row r="14" spans="17:23">
      <c r="Q14">
        <v>4.1</v>
      </c>
      <c r="R14" s="3">
        <v>3</v>
      </c>
      <c r="S14" s="3"/>
      <c r="T14" s="3">
        <v>1</v>
      </c>
      <c r="U14" s="3"/>
      <c r="V14" s="3"/>
      <c r="W14" s="3"/>
    </row>
    <row r="15" spans="7:23">
      <c r="G15" t="s">
        <v>330</v>
      </c>
      <c r="H15" t="s">
        <v>331</v>
      </c>
      <c r="Q15">
        <v>3.8</v>
      </c>
      <c r="R15" s="3">
        <v>4</v>
      </c>
      <c r="S15" s="3">
        <v>-0.2</v>
      </c>
      <c r="T15" s="3"/>
      <c r="U15" s="3">
        <v>10</v>
      </c>
      <c r="V15" s="3"/>
      <c r="W15" s="3"/>
    </row>
    <row r="16" spans="17:23">
      <c r="Q16">
        <v>17.4</v>
      </c>
      <c r="R16" s="3">
        <v>5</v>
      </c>
      <c r="S16" s="3">
        <v>-0.9</v>
      </c>
      <c r="T16" s="3"/>
      <c r="U16" s="3">
        <v>24</v>
      </c>
      <c r="V16" s="3"/>
      <c r="W16" s="3"/>
    </row>
    <row r="17" spans="17:23">
      <c r="Q17">
        <v>7.5</v>
      </c>
      <c r="R17" s="3">
        <v>6</v>
      </c>
      <c r="S17" s="3">
        <v>-0.4</v>
      </c>
      <c r="T17" s="3"/>
      <c r="U17" s="3"/>
      <c r="V17" s="3">
        <v>1</v>
      </c>
      <c r="W17" s="3"/>
    </row>
    <row r="18" spans="17:23">
      <c r="Q18">
        <v>10.3</v>
      </c>
      <c r="R18" s="3">
        <v>7</v>
      </c>
      <c r="S18" s="3">
        <v>-1</v>
      </c>
      <c r="T18" s="3"/>
      <c r="U18" s="3"/>
      <c r="V18" s="3">
        <v>3</v>
      </c>
      <c r="W18" s="3"/>
    </row>
    <row r="19" spans="17:23">
      <c r="Q19">
        <v>6.2</v>
      </c>
      <c r="R19" s="3">
        <v>8</v>
      </c>
      <c r="S19" s="3">
        <v>-0.3</v>
      </c>
      <c r="T19" s="3"/>
      <c r="U19" s="3">
        <v>18</v>
      </c>
      <c r="V19" s="3"/>
      <c r="W19" s="3"/>
    </row>
    <row r="20" spans="9:23">
      <c r="I20" s="1"/>
      <c r="N20" s="1"/>
      <c r="O20" s="1"/>
      <c r="Q20">
        <v>6.1</v>
      </c>
      <c r="R20" s="3">
        <v>9</v>
      </c>
      <c r="S20" s="3">
        <v>-0.3</v>
      </c>
      <c r="T20" s="3"/>
      <c r="U20" s="3"/>
      <c r="V20" s="3"/>
      <c r="W20" s="3">
        <v>1</v>
      </c>
    </row>
    <row r="21" spans="9:23">
      <c r="I21" s="1"/>
      <c r="N21" s="1"/>
      <c r="O21" s="1"/>
      <c r="Q21">
        <v>7.7</v>
      </c>
      <c r="R21" s="3">
        <v>10</v>
      </c>
      <c r="S21" s="3">
        <v>-0.4</v>
      </c>
      <c r="T21" s="3"/>
      <c r="U21" s="3">
        <v>15</v>
      </c>
      <c r="V21" s="3"/>
      <c r="W21" s="3"/>
    </row>
    <row r="22" spans="17:23">
      <c r="Q22">
        <v>17.1</v>
      </c>
      <c r="R22" s="3">
        <v>11</v>
      </c>
      <c r="S22" s="3">
        <v>-0.9</v>
      </c>
      <c r="T22" s="3"/>
      <c r="U22" s="3">
        <v>18</v>
      </c>
      <c r="V22" s="3"/>
      <c r="W22" s="3"/>
    </row>
    <row r="23" spans="17:23">
      <c r="Q23">
        <v>13.5</v>
      </c>
      <c r="R23" s="3">
        <v>12</v>
      </c>
      <c r="S23" s="3">
        <v>-0.7</v>
      </c>
      <c r="T23" s="3"/>
      <c r="U23" s="3">
        <v>60</v>
      </c>
      <c r="V23" s="3"/>
      <c r="W23" s="3"/>
    </row>
    <row r="24" spans="17:23">
      <c r="Q24">
        <v>4</v>
      </c>
      <c r="R24" s="3">
        <v>13</v>
      </c>
      <c r="S24" s="3">
        <v>-0.2</v>
      </c>
      <c r="T24" s="3"/>
      <c r="U24" s="3">
        <v>15</v>
      </c>
      <c r="V24" s="3"/>
      <c r="W24" s="3"/>
    </row>
    <row r="25" spans="17:23">
      <c r="Q25">
        <v>6.5</v>
      </c>
      <c r="R25" s="3">
        <v>14</v>
      </c>
      <c r="S25" s="3">
        <v>-0.3</v>
      </c>
      <c r="T25" s="3">
        <v>1</v>
      </c>
      <c r="U25" s="3"/>
      <c r="V25" s="3"/>
      <c r="W25" s="3"/>
    </row>
    <row r="26" spans="17:23">
      <c r="Q26">
        <v>10</v>
      </c>
      <c r="R26" s="3">
        <v>15</v>
      </c>
      <c r="S26" s="3">
        <v>-0.5</v>
      </c>
      <c r="T26" s="3"/>
      <c r="U26" s="3">
        <v>14</v>
      </c>
      <c r="V26" s="3"/>
      <c r="W26" s="3"/>
    </row>
    <row r="28" spans="14:17">
      <c r="N28" s="2"/>
      <c r="O28" s="2"/>
      <c r="P28" s="2"/>
      <c r="Q28" s="2"/>
    </row>
    <row r="29" spans="14:17">
      <c r="N29" s="2"/>
      <c r="O29" s="2"/>
      <c r="P29" s="2"/>
      <c r="Q2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2024-07-04T09:20:46Z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