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75"/>
  </bookViews>
  <sheets>
    <sheet name="Monster" sheetId="2" r:id="rId1"/>
    <sheet name="Sheet1" sheetId="3" r:id="rId2"/>
    <sheet name="Sheet2" sheetId="4" r:id="rId3"/>
  </sheets>
  <definedNames>
    <definedName name="_xlnm._FilterDatabase" localSheetId="0" hidden="1">Monster!$A$1:$AF$15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JM</author>
    <author>孙昌宁</author>
    <author>hongd</author>
  </authors>
  <commentList>
    <comment ref="A1" authorId="0">
      <text>
        <r>
          <rPr>
            <sz val="9"/>
            <rFont val="宋体"/>
            <charset val="134"/>
          </rPr>
          <t xml:space="preserve">
1001-9999：士兵
10001_19999：白天怪物
20001_29999：夜晚怪物
怪物分3种强度：普通、精英、boss</t>
        </r>
      </text>
    </comment>
    <comment ref="S1" authorId="1">
      <text>
        <r>
          <rPr>
            <b/>
            <sz val="9"/>
            <rFont val="宋体"/>
            <charset val="134"/>
          </rPr>
          <t>孙昌宁:</t>
        </r>
        <r>
          <rPr>
            <sz val="9"/>
            <rFont val="宋体"/>
            <charset val="134"/>
          </rPr>
          <t xml:space="preserve">
0或不填为普通小怪
1为精英
2为BOSS
</t>
        </r>
      </text>
    </comment>
    <comment ref="X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drop表</t>
        </r>
      </text>
    </comment>
    <comment ref="AB1" authorId="2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1：地面
2：空中</t>
        </r>
      </text>
    </comment>
  </commentList>
</comments>
</file>

<file path=xl/sharedStrings.xml><?xml version="1.0" encoding="utf-8"?>
<sst xmlns="http://schemas.openxmlformats.org/spreadsheetml/2006/main" count="521" uniqueCount="366">
  <si>
    <t>id</t>
  </si>
  <si>
    <t>名字</t>
  </si>
  <si>
    <t>等级</t>
  </si>
  <si>
    <t>生命值</t>
  </si>
  <si>
    <t>攻击力</t>
  </si>
  <si>
    <t>防御</t>
  </si>
  <si>
    <t>速度</t>
  </si>
  <si>
    <t>防御参数</t>
  </si>
  <si>
    <t>命中值</t>
  </si>
  <si>
    <t>闪避值</t>
  </si>
  <si>
    <t>命中参数</t>
  </si>
  <si>
    <t>闪避参数</t>
  </si>
  <si>
    <t>暴击值</t>
  </si>
  <si>
    <t>抗暴值</t>
  </si>
  <si>
    <t>暴击参数</t>
  </si>
  <si>
    <t>抗暴参数</t>
  </si>
  <si>
    <t>特殊属性</t>
  </si>
  <si>
    <t>牵引倍率</t>
  </si>
  <si>
    <t>类型</t>
  </si>
  <si>
    <t>深渊类型</t>
  </si>
  <si>
    <t>模型</t>
  </si>
  <si>
    <t>模型缩放(放大100倍,不填为100)</t>
  </si>
  <si>
    <t>UI Icon</t>
  </si>
  <si>
    <t>掉落</t>
  </si>
  <si>
    <t>经验</t>
  </si>
  <si>
    <t>技能</t>
  </si>
  <si>
    <t>buff</t>
  </si>
  <si>
    <t>所属空间</t>
  </si>
  <si>
    <t>描述</t>
  </si>
  <si>
    <t>标绿：映射列</t>
  </si>
  <si>
    <t>int</t>
  </si>
  <si>
    <t>string</t>
  </si>
  <si>
    <t>int[][]</t>
  </si>
  <si>
    <t>int[]</t>
  </si>
  <si>
    <r>
      <rPr>
        <sz val="14.3"/>
        <color rgb="FFAFB9C3"/>
        <rFont val="Courier New"/>
        <charset val="134"/>
      </rPr>
      <t>IRoleAttributeTable</t>
    </r>
  </si>
  <si>
    <t>lang</t>
  </si>
  <si>
    <t>nkey</t>
  </si>
  <si>
    <t>Id</t>
  </si>
  <si>
    <t>name</t>
  </si>
  <si>
    <t>level</t>
  </si>
  <si>
    <t>hp</t>
  </si>
  <si>
    <t>atk</t>
  </si>
  <si>
    <t>def</t>
  </si>
  <si>
    <t>speed</t>
  </si>
  <si>
    <t>def_parm</t>
  </si>
  <si>
    <t>dex</t>
  </si>
  <si>
    <t>dodge</t>
  </si>
  <si>
    <t>dex_parm</t>
  </si>
  <si>
    <t>dodge_parm</t>
  </si>
  <si>
    <t>crt</t>
  </si>
  <si>
    <t>cr</t>
  </si>
  <si>
    <t>crt_parm</t>
  </si>
  <si>
    <t>cr_parm</t>
  </si>
  <si>
    <t>specialAttr</t>
  </si>
  <si>
    <t>movePercent</t>
  </si>
  <si>
    <t>monsterType</t>
  </si>
  <si>
    <t>AbyssMonsterType</t>
  </si>
  <si>
    <t>model</t>
  </si>
  <si>
    <t>modelScale</t>
  </si>
  <si>
    <t>icon</t>
  </si>
  <si>
    <t>content</t>
  </si>
  <si>
    <t>battle_exp</t>
  </si>
  <si>
    <t>skill</t>
  </si>
  <si>
    <t>space</t>
  </si>
  <si>
    <t>desc</t>
  </si>
  <si>
    <t>trait</t>
  </si>
  <si>
    <t>秘境菇</t>
  </si>
  <si>
    <t>monster_common_101</t>
  </si>
  <si>
    <t>icon_monster_common_101</t>
  </si>
  <si>
    <t>森林里的常见菇类生物。</t>
  </si>
  <si>
    <t>双星菇</t>
  </si>
  <si>
    <t>monster_common_102_2</t>
  </si>
  <si>
    <t>icon_monster_common_102</t>
  </si>
  <si>
    <t>30001;30002;30003</t>
  </si>
  <si>
    <t>拥有双头的蘑菇，受到额外50%火焰和闪电的伤害。死亡后会分裂成两个蘑菇。</t>
  </si>
  <si>
    <t>特性：死亡分裂为2个小怪</t>
  </si>
  <si>
    <t>狂野野猪</t>
  </si>
  <si>
    <t>monster_common_103</t>
  </si>
  <si>
    <t>icon_monster_common_103</t>
  </si>
  <si>
    <t>移速非常快的野猪，受到额外50%的冰系伤害。</t>
  </si>
  <si>
    <t>特性：移动速度快</t>
  </si>
  <si>
    <t>椰岛蟹</t>
  </si>
  <si>
    <t>monster_common_104</t>
  </si>
  <si>
    <t>icon_monster_common_104</t>
  </si>
  <si>
    <t>30001;30002</t>
  </si>
  <si>
    <t>椰林中的螃蟹，椰壳里全是弹药，会从远处袭击，受到额外50%火焰和电系伤害。</t>
  </si>
  <si>
    <t>特性：火焰、闪电易伤</t>
  </si>
  <si>
    <t>史莱姆</t>
  </si>
  <si>
    <t>monster_common_105</t>
  </si>
  <si>
    <t>icon_monster_common_105</t>
  </si>
  <si>
    <t>30001;30006</t>
  </si>
  <si>
    <t>硕大的黏液怪物，难以击退，身体非常易燃，受到额外50%火焰伤害，燃烧时间增加100%。</t>
  </si>
  <si>
    <t>特性：难以击退，火焰易伤</t>
  </si>
  <si>
    <t>暗夜蝙蝠</t>
  </si>
  <si>
    <t>monster_common_106</t>
  </si>
  <si>
    <t>icon_monster_common_106</t>
  </si>
  <si>
    <t>敏捷的飞行怪物，移速很快，免疫地面技能，拥有特殊的移动路径。</t>
  </si>
  <si>
    <t>特性：空中单位，免疫地面技能攻击</t>
  </si>
  <si>
    <t>森林树人</t>
  </si>
  <si>
    <t>monster_common_107</t>
  </si>
  <si>
    <t>icon_monster_common_107</t>
  </si>
  <si>
    <t>30006;30007;30008;30009;30034;30035</t>
  </si>
  <si>
    <t>森林怪物，树皮非常厚实，免疫麻痹，难以被击退，并且会使用自然之力恢复生命值，生命低于30%时会静止5秒并持续恢复50%的生命，受到额外100%火焰伤害，燃烧时间增加100%。</t>
  </si>
  <si>
    <t>特性：免疫麻痹，难以击退</t>
  </si>
  <si>
    <t>大嘴蜗牛</t>
  </si>
  <si>
    <t>monster_common_108</t>
  </si>
  <si>
    <t>icon_monster_common_108</t>
  </si>
  <si>
    <t>拥有大嘴的蜗牛，嘴里能喷吐泡泡，进行远程攻击，受到额外50%的火焰和电系伤害。</t>
  </si>
  <si>
    <t>特性：血厚，无法击退，会回血。</t>
  </si>
  <si>
    <t>寒霜灵</t>
  </si>
  <si>
    <t>monster_common_109</t>
  </si>
  <si>
    <t>icon_monster_common_109</t>
  </si>
  <si>
    <t>30010;30001;30006;30033</t>
  </si>
  <si>
    <r>
      <rPr>
        <sz val="11"/>
        <color theme="1"/>
        <rFont val="微软雅黑"/>
        <charset val="134"/>
      </rPr>
      <t>冰蓝色的元素生物，减少50%冰系伤害以及</t>
    </r>
    <r>
      <rPr>
        <sz val="11"/>
        <rFont val="微软雅黑"/>
        <charset val="134"/>
      </rPr>
      <t>冻结时间</t>
    </r>
    <r>
      <rPr>
        <sz val="11"/>
        <color theme="1"/>
        <rFont val="微软雅黑"/>
        <charset val="134"/>
      </rPr>
      <t>，受到额外50%火焰伤害，燃烧时间提高100%。</t>
    </r>
  </si>
  <si>
    <t>特性：冰系减伤，火焰易伤</t>
  </si>
  <si>
    <t>雷霆灵</t>
  </si>
  <si>
    <t>monster_common_110</t>
  </si>
  <si>
    <t>icon_monster_common_110</t>
  </si>
  <si>
    <t>30001;30011;30032</t>
  </si>
  <si>
    <r>
      <rPr>
        <sz val="11"/>
        <color theme="1"/>
        <rFont val="微软雅黑"/>
        <charset val="134"/>
      </rPr>
      <t>充满电能的元素生物，减少60%电系伤害和</t>
    </r>
    <r>
      <rPr>
        <sz val="11"/>
        <rFont val="微软雅黑"/>
        <charset val="134"/>
      </rPr>
      <t>50%麻痹时间</t>
    </r>
    <r>
      <rPr>
        <sz val="11"/>
        <color theme="1"/>
        <rFont val="微软雅黑"/>
        <charset val="134"/>
      </rPr>
      <t>，受到额外50%火焰伤害。</t>
    </r>
  </si>
  <si>
    <t>特性：电系减伤，火焰易伤</t>
  </si>
  <si>
    <t>烈焰灵</t>
  </si>
  <si>
    <t>monster_common_111</t>
  </si>
  <si>
    <t>icon_monster_common_111</t>
  </si>
  <si>
    <t>30012;30013;30014;30016;30031</t>
  </si>
  <si>
    <r>
      <rPr>
        <sz val="11"/>
        <color theme="1"/>
        <rFont val="微软雅黑"/>
        <charset val="134"/>
      </rPr>
      <t>身体包裹着熊熊烈火的元素生物，减少60%火焰伤害，免疫燃烧、冰冻和</t>
    </r>
    <r>
      <rPr>
        <sz val="11"/>
        <rFont val="微软雅黑"/>
        <charset val="134"/>
      </rPr>
      <t>冻伤效果</t>
    </r>
    <r>
      <rPr>
        <sz val="11"/>
        <color theme="1"/>
        <rFont val="微软雅黑"/>
        <charset val="134"/>
      </rPr>
      <t>。</t>
    </r>
    <r>
      <rPr>
        <sz val="11"/>
        <rFont val="微软雅黑"/>
        <charset val="134"/>
      </rPr>
      <t>受到额外100%冰系伤害。</t>
    </r>
  </si>
  <si>
    <t>特性：免疫燃烧、冻结，寒冰易伤</t>
  </si>
  <si>
    <t>铁角犀牛</t>
  </si>
  <si>
    <t>monster_common_112</t>
  </si>
  <si>
    <t>icon_monster_common_112</t>
  </si>
  <si>
    <t>30008;30017;30005;20005</t>
  </si>
  <si>
    <r>
      <rPr>
        <sz val="11"/>
        <color theme="1"/>
        <rFont val="微软雅黑"/>
        <charset val="134"/>
      </rPr>
      <t>坚固的铁角犀牛，全身覆盖着坚硬的皮甲，免疫击退，</t>
    </r>
    <r>
      <rPr>
        <sz val="11"/>
        <color rgb="FFFF0000"/>
        <rFont val="微软雅黑"/>
        <charset val="134"/>
      </rPr>
      <t>能进行多段攻击</t>
    </r>
    <r>
      <rPr>
        <sz val="11"/>
        <color theme="1"/>
        <rFont val="微软雅黑"/>
        <charset val="134"/>
      </rPr>
      <t>，减少50%电系伤害，受到额外50%冰系伤害。</t>
    </r>
  </si>
  <si>
    <t>特性：多段伤害，电系减伤，寒冰易伤</t>
  </si>
  <si>
    <t>投石毛怪</t>
  </si>
  <si>
    <t>monster_common_113</t>
  </si>
  <si>
    <t>icon_monster_common_113</t>
  </si>
  <si>
    <t>30002;30018;30040</t>
  </si>
  <si>
    <t>掌握投石技巧的毛怪，擅长远程攻击，粗糙的毛发可以使穿透弹道的方向偏移，减少50%弹道伤害，受到额外50%电系伤害。</t>
  </si>
  <si>
    <t>特性：弹道技能减伤，闪电易伤</t>
  </si>
  <si>
    <t>持盾哥布林</t>
  </si>
  <si>
    <t>monster_common_114</t>
  </si>
  <si>
    <t>icon_monster_common_114</t>
  </si>
  <si>
    <t>30019;30013;30015;30008;30002</t>
  </si>
  <si>
    <t>拿着坚固盾牌的哥布林怪物，减少70%弹道伤害，免疫燃烧、击晕和击退，受到额外50%电系伤害。</t>
  </si>
  <si>
    <t>特性：免疫燃烧、击晕和击退，闪电易伤</t>
  </si>
  <si>
    <t>金币小偷</t>
  </si>
  <si>
    <t>monster_common_117</t>
  </si>
  <si>
    <t>icon_monster_common_117</t>
  </si>
  <si>
    <t>贪婪是他们的天性，身上总是携带大量闪闪发光的金币。</t>
  </si>
  <si>
    <t>召唤单星菇</t>
  </si>
  <si>
    <t>monster_common_102_1</t>
  </si>
  <si>
    <t>由双星菇分裂而来的蘑菇。</t>
  </si>
  <si>
    <t>绵羊</t>
  </si>
  <si>
    <t>monster_common_115</t>
  </si>
  <si>
    <t>icon_monster_common_115</t>
  </si>
  <si>
    <t>人畜无害的食草生物。</t>
  </si>
  <si>
    <t>棕熊</t>
  </si>
  <si>
    <t>monster_common_116</t>
  </si>
  <si>
    <t>icon_monster_common_116</t>
  </si>
  <si>
    <t>移速非常慢的棕熊，受到额外50%火焰和电系伤害。</t>
  </si>
  <si>
    <t>特性：移动速度慢</t>
  </si>
  <si>
    <t>石灵</t>
  </si>
  <si>
    <t>30013;30042;30043</t>
  </si>
  <si>
    <t>土元素构成的灵体，本体较为脆弱，免疫燃烧和电系技能，携带元素护盾，能完全抵消6次伤害，在护盾破碎前免疫所有负面状态</t>
  </si>
  <si>
    <t>特性：免疫燃烧和电系技能</t>
  </si>
  <si>
    <t>野熊</t>
  </si>
  <si>
    <t>力大无穷的野熊，千万别让它靠近</t>
  </si>
  <si>
    <t>野猪人猎手</t>
  </si>
  <si>
    <t>身手敏捷的野猪人，在一定时间后会召唤一个小野猪</t>
  </si>
  <si>
    <t>风元素</t>
  </si>
  <si>
    <t>30008;20005;20005</t>
  </si>
  <si>
    <t>移动速度较快，免疫击退效果，单次攻击能对城墙造成多段伤害</t>
  </si>
  <si>
    <t>护盾傀儡</t>
  </si>
  <si>
    <t>30013;30014;30007;30041;30044</t>
  </si>
  <si>
    <t>持有特殊防护盾牌的元素傀儡，免疫冻结，燃烧，麻痹效果，几乎无法被击退，能拦截所有弹道技能；受到额外200%的火焰伤害</t>
  </si>
  <si>
    <t>特性：免疫燃烧、击晕和击退，火焰易伤</t>
  </si>
  <si>
    <t>召唤野猪</t>
  </si>
  <si>
    <t>精英秘境菇</t>
  </si>
  <si>
    <t>monster_elite_101</t>
  </si>
  <si>
    <t>icon_monster_elite_101</t>
  </si>
  <si>
    <t>30020;30008</t>
  </si>
  <si>
    <t>有15%概率闪避技能攻击。</t>
  </si>
  <si>
    <t>精英双星菇</t>
  </si>
  <si>
    <t>monster_elite_102_2</t>
  </si>
  <si>
    <t>icon_monster_elite_102</t>
  </si>
  <si>
    <t>30021;30001;30002;30038;30008</t>
  </si>
  <si>
    <r>
      <rPr>
        <sz val="11"/>
        <rFont val="微软雅黑"/>
        <charset val="134"/>
      </rPr>
      <t>受击后3秒内会恢复自身生命</t>
    </r>
    <r>
      <rPr>
        <sz val="11"/>
        <color theme="1"/>
        <rFont val="微软雅黑"/>
        <charset val="134"/>
      </rPr>
      <t>，死亡后会分裂成两个蘑菇。受到额外50%火焰和电系伤害。</t>
    </r>
  </si>
  <si>
    <t>提示：受到额外50%火焰和电系伤害</t>
  </si>
  <si>
    <t>精英暗夜蝙蝠</t>
  </si>
  <si>
    <t>monster_elite_106</t>
  </si>
  <si>
    <t>icon_monster_elite_106</t>
  </si>
  <si>
    <t>30023;30008</t>
  </si>
  <si>
    <t>敏捷的飞行怪物，移速很快，免疫地面技能，拥有特殊的移动路径。有较高概率闪避技能攻击。</t>
  </si>
  <si>
    <t>提示：免疫地面技能攻击</t>
  </si>
  <si>
    <t>精英森林树人</t>
  </si>
  <si>
    <t>monster_elite_107</t>
  </si>
  <si>
    <t>icon_monster_elite_107</t>
  </si>
  <si>
    <t>30006;30009;30034;30035;30037;30008</t>
  </si>
  <si>
    <t>生命低于30%时停止移动，持续5秒恢复自身50%生命，同时召唤多个普通森林树人，受到额外100%火焰伤害，燃烧时间增加100%。</t>
  </si>
  <si>
    <t>提示：受到额外100%火焰伤害，点燃翻倍</t>
  </si>
  <si>
    <t>精英大嘴蜗牛</t>
  </si>
  <si>
    <t>monster_elite_108</t>
  </si>
  <si>
    <t>icon_monster_elite_108</t>
  </si>
  <si>
    <t>30001;30002;30018;30008</t>
  </si>
  <si>
    <t>嘴里喷吐巨大泡泡，进行远程攻击，减少50%的弹道伤害，受到额外50%的火焰和电系伤害。</t>
  </si>
  <si>
    <t>提示：受到额外50%的火焰和电系伤害</t>
  </si>
  <si>
    <t>精英寒霜灵</t>
  </si>
  <si>
    <t>monster_elite_109</t>
  </si>
  <si>
    <t>icon_monster_elite_109</t>
  </si>
  <si>
    <t>30010;30001;30006;30033;30008</t>
  </si>
  <si>
    <t>提示：受到额外50%火焰伤害，点燃翻倍</t>
  </si>
  <si>
    <t>精英雷霆灵</t>
  </si>
  <si>
    <t>monster_elite_110</t>
  </si>
  <si>
    <t>icon_monster_elite_110</t>
  </si>
  <si>
    <t>30007;30026;30001;30008</t>
  </si>
  <si>
    <t>充满电能的元素生物，免疫电系伤害和麻痹时间，受到额外50%火焰伤害。</t>
  </si>
  <si>
    <t>提示：受到额外50%火焰伤害</t>
  </si>
  <si>
    <t>精英烈焰灵</t>
  </si>
  <si>
    <t>monster_elite_111</t>
  </si>
  <si>
    <t>icon_monster_elite_111</t>
  </si>
  <si>
    <t>30012;30013;30014;30016;30031;30008</t>
  </si>
  <si>
    <r>
      <rPr>
        <sz val="11"/>
        <color theme="1"/>
        <rFont val="微软雅黑"/>
        <charset val="134"/>
      </rPr>
      <t>身体包裹着熊熊烈火的元素生物，减少60%火焰伤害，免疫燃烧、冰冻和</t>
    </r>
    <r>
      <rPr>
        <sz val="11"/>
        <rFont val="微软雅黑"/>
        <charset val="134"/>
      </rPr>
      <t>冻伤效果</t>
    </r>
    <r>
      <rPr>
        <sz val="11"/>
        <color theme="1"/>
        <rFont val="微软雅黑"/>
        <charset val="134"/>
      </rPr>
      <t>。受到额外100%冰系伤害。</t>
    </r>
  </si>
  <si>
    <t>提示：受到额外100%冰系伤害</t>
  </si>
  <si>
    <t>精英金角犀牛</t>
  </si>
  <si>
    <t>monster_elite_112</t>
  </si>
  <si>
    <t>icon_monster_elite_112</t>
  </si>
  <si>
    <t>30008;30017;30005;20005;20005</t>
  </si>
  <si>
    <r>
      <rPr>
        <sz val="11"/>
        <color theme="1"/>
        <rFont val="微软雅黑"/>
        <charset val="134"/>
      </rPr>
      <t>体格健硕的巨大犀牛，免疫击退，</t>
    </r>
    <r>
      <rPr>
        <sz val="11"/>
        <color rgb="FFFF0000"/>
        <rFont val="微软雅黑"/>
        <charset val="134"/>
      </rPr>
      <t>能进行多段攻击</t>
    </r>
    <r>
      <rPr>
        <sz val="11"/>
        <color theme="1"/>
        <rFont val="微软雅黑"/>
        <charset val="134"/>
      </rPr>
      <t>，减少50%电系伤害，受到额外50%冰系伤害。</t>
    </r>
  </si>
  <si>
    <t>提示：受到额外50%冰系伤害</t>
  </si>
  <si>
    <t>精英炸弹毛怪</t>
  </si>
  <si>
    <t>monster_elite_113</t>
  </si>
  <si>
    <t>icon_monster_elite_113</t>
  </si>
  <si>
    <t>30019;30002;30040;30008</t>
  </si>
  <si>
    <t>掌握扔炸弹技巧的毛怪，擅长远程攻击，粗糙的毛发可以使穿透弹道的方向偏移，减少70%弹道伤害，受到额外50%电系伤害。</t>
  </si>
  <si>
    <t>提示：受到额外50%电系伤害</t>
  </si>
  <si>
    <t>精英单星菇</t>
  </si>
  <si>
    <t>monster_elite_102_1</t>
  </si>
  <si>
    <t>由精英双星菇分裂而来的蘑菇。</t>
  </si>
  <si>
    <t>精英鱼人</t>
  </si>
  <si>
    <t>30005;30045</t>
  </si>
  <si>
    <t>灵动的鱼人，移动一定距离后会获得爆发性的移动速度，受到额外50%的寒冰伤害</t>
  </si>
  <si>
    <t>精英麦田傀儡</t>
  </si>
  <si>
    <t>30015;30007;30006</t>
  </si>
  <si>
    <t>没有脑子的傀儡，行动缓慢，几乎无法被击退，无法被击晕和麻痹；被点燃的持续时间翻倍</t>
  </si>
  <si>
    <t>水元素领主</t>
  </si>
  <si>
    <t>30013;30049;30051</t>
  </si>
  <si>
    <t>强悍的水元素领主，能在中等距离内持续对城墙造成伤害，无法被点燃；被闪电伤害命中后会波及周围其他怪物，被冻结时会持续恢复生命值</t>
  </si>
  <si>
    <t>精英风元素</t>
  </si>
  <si>
    <t>20005;20005;30008</t>
  </si>
  <si>
    <t>移动速度极快，免疫击退效果，单次攻击能对城墙造成多段伤害</t>
  </si>
  <si>
    <t>精英野猪人猎手</t>
  </si>
  <si>
    <t>身手敏捷的野猪人，在一定时间后会召唤一个野猪</t>
  </si>
  <si>
    <t>精英鱼人战士</t>
  </si>
  <si>
    <t>灵动的鱼人，移动速度很快，移动一定距离后有概率会获得爆发性的移动速度，受到额外50%的寒冰伤害</t>
  </si>
  <si>
    <t>BOSS秘境菇</t>
  </si>
  <si>
    <t>&amp;_MonsterConfig_desc_20001</t>
  </si>
  <si>
    <t>BOSS双星菇</t>
  </si>
  <si>
    <t>&amp;_MonsterConfig_desc_20002</t>
  </si>
  <si>
    <t>&amp;_MonsterConfig_trait_20002</t>
  </si>
  <si>
    <t>BOSS暗夜蝙蝠</t>
  </si>
  <si>
    <t>&amp;_MonsterConfig_desc_20003</t>
  </si>
  <si>
    <t>&amp;_MonsterConfig_trait_20003</t>
  </si>
  <si>
    <t>BOSS森林树人</t>
  </si>
  <si>
    <t>&amp;_MonsterConfig_desc_20004</t>
  </si>
  <si>
    <t>&amp;_MonsterConfig_trait_20004</t>
  </si>
  <si>
    <t>BOSS大嘴蜗牛</t>
  </si>
  <si>
    <t>&amp;_MonsterConfig_desc_20005</t>
  </si>
  <si>
    <t>&amp;_MonsterConfig_trait_20005</t>
  </si>
  <si>
    <t>BOSS寒霜灵</t>
  </si>
  <si>
    <t>&amp;_MonsterConfig_desc_20006</t>
  </si>
  <si>
    <t>&amp;_MonsterConfig_trait_20006</t>
  </si>
  <si>
    <t>BOSS雷霆灵</t>
  </si>
  <si>
    <t>&amp;_MonsterConfig_desc_20007</t>
  </si>
  <si>
    <t>&amp;_MonsterConfig_trait_20007</t>
  </si>
  <si>
    <t>BOSS烈焰灵</t>
  </si>
  <si>
    <t>&amp;_MonsterConfig_desc_20008</t>
  </si>
  <si>
    <t>&amp;_MonsterConfig_trait_20008</t>
  </si>
  <si>
    <t>BOSS金角犀牛</t>
  </si>
  <si>
    <t>&amp;_MonsterConfig_desc_20009</t>
  </si>
  <si>
    <t>&amp;_MonsterConfig_trait_20009</t>
  </si>
  <si>
    <t>BOSS炸弹毛怪</t>
  </si>
  <si>
    <t>&amp;_MonsterConfig_desc_20010</t>
  </si>
  <si>
    <t>&amp;_MonsterConfig_trait_20010</t>
  </si>
  <si>
    <t>BOSS单星菇</t>
  </si>
  <si>
    <t>由boss双星菇分裂而来的蘑菇。</t>
  </si>
  <si>
    <t>BOSS鱼人</t>
  </si>
  <si>
    <t>&amp;_MonsterConfig_desc_20011</t>
  </si>
  <si>
    <t>&amp;_MonsterConfig_trait_20011</t>
  </si>
  <si>
    <t>BOSS麦田傀儡</t>
  </si>
  <si>
    <t>&amp;_MonsterConfig_desc_20012</t>
  </si>
  <si>
    <t>&amp;_MonsterConfig_trait_20012</t>
  </si>
  <si>
    <t>BOSS水元素</t>
  </si>
  <si>
    <t>&amp;_MonsterConfig_desc_20013</t>
  </si>
  <si>
    <t>&amp;_MonsterConfig_trait_20013</t>
  </si>
  <si>
    <t>BOSS风元素</t>
  </si>
  <si>
    <t>&amp;_MonsterConfig_desc_20014</t>
  </si>
  <si>
    <t>&amp;_MonsterConfig_trait_20014</t>
  </si>
  <si>
    <t>BOSS野猪人猎手</t>
  </si>
  <si>
    <t>&amp;_MonsterConfig_desc_20015</t>
  </si>
  <si>
    <t>&amp;_MonsterConfig_trait_20015</t>
  </si>
  <si>
    <t>BOSS鱼人战士</t>
  </si>
  <si>
    <t>&amp;_MonsterConfig_desc_20016</t>
  </si>
  <si>
    <t>&amp;_MonsterConfig_trait_20016</t>
  </si>
  <si>
    <t>BOSS森林之王</t>
  </si>
  <si>
    <t>monster_boss_201</t>
  </si>
  <si>
    <t>icon_monster_boss_201</t>
  </si>
  <si>
    <t>30027;30028;30008;30029;30008</t>
  </si>
  <si>
    <t>减少70%风系伤害，受到50%额外奥术伤害，免疫击退和减少50%负面状态时间。</t>
  </si>
  <si>
    <t>BOSS金币大盗</t>
  </si>
  <si>
    <t>monster_elite_117</t>
  </si>
  <si>
    <t>icon_monster_elite_117</t>
  </si>
  <si>
    <t>野猪</t>
  </si>
  <si>
    <t>鱼人</t>
  </si>
  <si>
    <t>麦田傀儡</t>
  </si>
  <si>
    <t>软泥怪</t>
  </si>
  <si>
    <t>火元素</t>
  </si>
  <si>
    <t>火元素构成的生命，受到火焰伤害降低60%，免疫燃烧和冻结效果；受到额外100%的寒冰伤害</t>
  </si>
  <si>
    <t>兽人领主</t>
  </si>
  <si>
    <t>全副武装的兽人，行动缓慢，可以连续攻击2次，几乎无法被击退，无法被击晕和麻痹；受到弹道类攻击伤害降低90%；受到额外50%的火焰伤害</t>
  </si>
  <si>
    <t>精英野猪</t>
  </si>
  <si>
    <t>精英史莱姆</t>
  </si>
  <si>
    <t>行动缓慢，受到伤害后会持续恢复生命值，死亡时会分裂为4个史莱姆，受到额外50%的火焰和闪电伤害</t>
  </si>
  <si>
    <t>精英软泥怪</t>
  </si>
  <si>
    <t>能远程喷吐泡泡攻击城墙的怪物，受到额外50%的火焰和闪电伤害</t>
  </si>
  <si>
    <t>精英火元素</t>
  </si>
  <si>
    <t>火元素构成的生命，免疫火焰伤害，燃烧和冻结效果；受到额外100%的寒冰伤害</t>
  </si>
  <si>
    <t>树精</t>
  </si>
  <si>
    <t>耐久惊人的怪物，免疫麻痹，难以被击退，受到额外100%的火焰伤害，血量低于30%时会静止5秒并持续恢复50%生命值，被点燃的持续时间变为5倍</t>
  </si>
  <si>
    <t>吸血蝙蝠</t>
  </si>
  <si>
    <t>精英吸血蝙蝠</t>
  </si>
  <si>
    <t>移动速度很快，拥有特殊的移动路径，免疫来自地面的技能，并有较高概率躲避技能</t>
  </si>
  <si>
    <t>精英树精</t>
  </si>
  <si>
    <t>鱼人战士</t>
  </si>
  <si>
    <t>小盗贼</t>
  </si>
  <si>
    <t>除了跑的快点外一无是处的弱小怪物</t>
  </si>
  <si>
    <t>小野猪人</t>
  </si>
  <si>
    <t>关卡1</t>
  </si>
  <si>
    <t>关卡2</t>
  </si>
  <si>
    <t>关卡3</t>
  </si>
  <si>
    <t>关卡4</t>
  </si>
  <si>
    <t>关卡5</t>
  </si>
  <si>
    <t>关卡6</t>
  </si>
  <si>
    <t>关卡7</t>
  </si>
  <si>
    <t>关卡8</t>
  </si>
  <si>
    <t>关卡9</t>
  </si>
  <si>
    <t>关卡10</t>
  </si>
  <si>
    <t>关卡11</t>
  </si>
  <si>
    <t>关卡12</t>
  </si>
  <si>
    <t>关卡13</t>
  </si>
  <si>
    <t>关卡14</t>
  </si>
  <si>
    <t>关卡15</t>
  </si>
  <si>
    <t>关卡16</t>
  </si>
  <si>
    <t>关卡17</t>
  </si>
  <si>
    <t>关卡18</t>
  </si>
  <si>
    <t>关卡19</t>
  </si>
  <si>
    <t>关卡20</t>
  </si>
  <si>
    <t>关卡21</t>
  </si>
  <si>
    <t>关卡22</t>
  </si>
  <si>
    <t>关卡23</t>
  </si>
  <si>
    <t>关卡24</t>
  </si>
  <si>
    <t>关卡25</t>
  </si>
  <si>
    <t>关卡26</t>
  </si>
  <si>
    <t>关卡27</t>
  </si>
  <si>
    <t>关卡28</t>
  </si>
  <si>
    <t>关卡29</t>
  </si>
  <si>
    <t>关卡30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</si>
</sst>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0"/>
      <name val="Arial"/>
      <charset val="134"/>
    </font>
    <font>
      <sz val="11"/>
      <color theme="1"/>
      <name val="微软雅黑"/>
      <charset val="134"/>
    </font>
    <font>
      <sz val="10"/>
      <name val="宋体"/>
      <charset val="134"/>
    </font>
    <font>
      <sz val="14.3"/>
      <color rgb="FFAFB9C3"/>
      <name val="Courier New"/>
      <charset val="134"/>
    </font>
    <font>
      <sz val="20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theme="7" tint="0.39970091860713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left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5" borderId="0" xfId="0" applyFill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G64"/>
  <sheetViews>
    <sheetView tabSelected="1" zoomScale="145" zoomScaleNormal="145" workbookViewId="0">
      <pane xSplit="3" ySplit="4" topLeftCell="S40" activePane="bottomRight" state="frozen"/>
      <selection/>
      <selection pane="topRight"/>
      <selection pane="bottomLeft"/>
      <selection pane="bottomRight" activeCell="W65" sqref="W65"/>
    </sheetView>
  </sheetViews>
  <sheetFormatPr defaultColWidth="9" defaultRowHeight="16.5"/>
  <cols>
    <col min="1" max="1" width="8.375" style="16" customWidth="1"/>
    <col min="2" max="2" width="15" style="16" customWidth="1"/>
    <col min="3" max="3" width="5.625" style="17" customWidth="1"/>
    <col min="4" max="5" width="7.125" style="17" customWidth="1"/>
    <col min="6" max="6" width="5.25" style="17" customWidth="1"/>
    <col min="7" max="7" width="6.75" style="17" customWidth="1"/>
    <col min="8" max="8" width="9.875" style="17" customWidth="1"/>
    <col min="9" max="9" width="7.125" style="17" customWidth="1"/>
    <col min="10" max="10" width="7.25" style="17" customWidth="1"/>
    <col min="11" max="11" width="10.125" style="17" customWidth="1"/>
    <col min="12" max="12" width="13" style="17" customWidth="1"/>
    <col min="13" max="14" width="7.125" style="17" customWidth="1"/>
    <col min="15" max="15" width="9.25" style="17" customWidth="1"/>
    <col min="16" max="16" width="8.875" style="17" customWidth="1"/>
    <col min="17" max="17" width="10.875" style="17" customWidth="1"/>
    <col min="18" max="18" width="13.375" style="17" customWidth="1"/>
    <col min="19" max="19" width="16.125" style="17" customWidth="1"/>
    <col min="20" max="20" width="19.25" style="17" customWidth="1"/>
    <col min="21" max="21" width="25.125" style="17" customWidth="1"/>
    <col min="22" max="22" width="26.875" style="17" customWidth="1"/>
    <col min="23" max="23" width="28.125" style="17" customWidth="1"/>
    <col min="24" max="24" width="8.625" style="17" customWidth="1"/>
    <col min="25" max="25" width="10.875" style="17" customWidth="1"/>
    <col min="26" max="26" width="13.25" style="17" customWidth="1"/>
    <col min="27" max="27" width="39.25" style="17" customWidth="1"/>
    <col min="28" max="28" width="9" style="17"/>
    <col min="29" max="29" width="115.125" style="18" customWidth="1"/>
    <col min="30" max="30" width="37.5" style="17" customWidth="1"/>
    <col min="31" max="31" width="14.125" style="17" customWidth="1"/>
    <col min="32" max="32" width="9" style="16"/>
    <col min="33" max="33" width="11.625" style="16"/>
    <col min="34" max="16384" width="9" style="16"/>
  </cols>
  <sheetData>
    <row r="1" ht="27.75" spans="1:3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28" t="s">
        <v>28</v>
      </c>
      <c r="AD1" s="28" t="s">
        <v>28</v>
      </c>
      <c r="AF1" s="29" t="s">
        <v>29</v>
      </c>
    </row>
    <row r="2" spans="1:30">
      <c r="A2" s="20" t="s">
        <v>30</v>
      </c>
      <c r="B2" s="20" t="s">
        <v>31</v>
      </c>
      <c r="C2" s="20" t="s">
        <v>30</v>
      </c>
      <c r="D2" s="20" t="s">
        <v>30</v>
      </c>
      <c r="E2" s="20" t="s">
        <v>30</v>
      </c>
      <c r="F2" s="20" t="s">
        <v>30</v>
      </c>
      <c r="G2" s="20" t="s">
        <v>30</v>
      </c>
      <c r="H2" s="20" t="s">
        <v>30</v>
      </c>
      <c r="I2" s="20" t="s">
        <v>30</v>
      </c>
      <c r="J2" s="20" t="s">
        <v>30</v>
      </c>
      <c r="K2" s="20" t="s">
        <v>30</v>
      </c>
      <c r="L2" s="20" t="s">
        <v>30</v>
      </c>
      <c r="M2" s="20" t="s">
        <v>30</v>
      </c>
      <c r="N2" s="20" t="s">
        <v>30</v>
      </c>
      <c r="O2" s="20" t="s">
        <v>30</v>
      </c>
      <c r="P2" s="20" t="s">
        <v>30</v>
      </c>
      <c r="Q2" s="20" t="s">
        <v>32</v>
      </c>
      <c r="R2" s="20" t="s">
        <v>30</v>
      </c>
      <c r="S2" s="20" t="s">
        <v>30</v>
      </c>
      <c r="T2" s="20" t="s">
        <v>30</v>
      </c>
      <c r="U2" s="20" t="s">
        <v>31</v>
      </c>
      <c r="V2" s="20" t="s">
        <v>30</v>
      </c>
      <c r="W2" s="20" t="s">
        <v>31</v>
      </c>
      <c r="X2" s="20" t="s">
        <v>30</v>
      </c>
      <c r="Y2" s="20" t="s">
        <v>30</v>
      </c>
      <c r="Z2" s="20" t="s">
        <v>30</v>
      </c>
      <c r="AA2" s="20" t="s">
        <v>33</v>
      </c>
      <c r="AB2" s="20" t="s">
        <v>30</v>
      </c>
      <c r="AC2" s="30" t="s">
        <v>31</v>
      </c>
      <c r="AD2" s="30" t="s">
        <v>31</v>
      </c>
    </row>
    <row r="3" ht="18.75" spans="1:30">
      <c r="A3" s="21" t="s">
        <v>34</v>
      </c>
      <c r="B3" s="22" t="s">
        <v>35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 t="s">
        <v>36</v>
      </c>
      <c r="T3" s="22" t="s">
        <v>36</v>
      </c>
      <c r="U3" s="22"/>
      <c r="V3" s="22"/>
      <c r="W3" s="22"/>
      <c r="X3" s="22"/>
      <c r="Y3" s="22"/>
      <c r="Z3" s="22"/>
      <c r="AA3" s="22"/>
      <c r="AB3" s="22"/>
      <c r="AC3" s="31" t="s">
        <v>35</v>
      </c>
      <c r="AD3" s="31" t="s">
        <v>35</v>
      </c>
    </row>
    <row r="4" spans="1:30">
      <c r="A4" s="23" t="s">
        <v>37</v>
      </c>
      <c r="B4" s="23" t="s">
        <v>38</v>
      </c>
      <c r="C4" s="23" t="s">
        <v>39</v>
      </c>
      <c r="D4" s="23" t="s">
        <v>40</v>
      </c>
      <c r="E4" s="24" t="s">
        <v>41</v>
      </c>
      <c r="F4" s="24" t="s">
        <v>42</v>
      </c>
      <c r="G4" s="23" t="s">
        <v>43</v>
      </c>
      <c r="H4" s="24" t="s">
        <v>44</v>
      </c>
      <c r="I4" s="23" t="s">
        <v>45</v>
      </c>
      <c r="J4" s="23" t="s">
        <v>46</v>
      </c>
      <c r="K4" s="23" t="s">
        <v>47</v>
      </c>
      <c r="L4" s="23" t="s">
        <v>48</v>
      </c>
      <c r="M4" s="23" t="s">
        <v>49</v>
      </c>
      <c r="N4" s="23" t="s">
        <v>50</v>
      </c>
      <c r="O4" s="23" t="s">
        <v>51</v>
      </c>
      <c r="P4" s="23" t="s">
        <v>52</v>
      </c>
      <c r="Q4" s="24" t="s">
        <v>53</v>
      </c>
      <c r="R4" s="24" t="s">
        <v>54</v>
      </c>
      <c r="S4" s="24" t="s">
        <v>55</v>
      </c>
      <c r="T4" s="24" t="s">
        <v>56</v>
      </c>
      <c r="U4" s="23" t="s">
        <v>57</v>
      </c>
      <c r="V4" s="23" t="s">
        <v>58</v>
      </c>
      <c r="W4" s="23" t="s">
        <v>59</v>
      </c>
      <c r="X4" s="23" t="s">
        <v>60</v>
      </c>
      <c r="Y4" s="23" t="s">
        <v>61</v>
      </c>
      <c r="Z4" s="23" t="s">
        <v>62</v>
      </c>
      <c r="AA4" s="23" t="s">
        <v>26</v>
      </c>
      <c r="AB4" s="23" t="s">
        <v>63</v>
      </c>
      <c r="AC4" s="32" t="s">
        <v>64</v>
      </c>
      <c r="AD4" s="32" t="s">
        <v>65</v>
      </c>
    </row>
    <row r="5" customFormat="1" spans="1:33">
      <c r="A5" s="2">
        <v>10001</v>
      </c>
      <c r="B5" s="2" t="s">
        <v>66</v>
      </c>
      <c r="C5" s="25">
        <v>1</v>
      </c>
      <c r="D5" s="25">
        <v>45</v>
      </c>
      <c r="E5" s="25">
        <v>2</v>
      </c>
      <c r="F5" s="25">
        <v>15</v>
      </c>
      <c r="G5" s="25">
        <v>120</v>
      </c>
      <c r="H5" s="25">
        <v>20</v>
      </c>
      <c r="I5" s="25">
        <v>100</v>
      </c>
      <c r="J5" s="25">
        <v>50</v>
      </c>
      <c r="K5" s="25">
        <v>150</v>
      </c>
      <c r="L5" s="25">
        <v>0</v>
      </c>
      <c r="M5" s="25">
        <v>100</v>
      </c>
      <c r="N5" s="25">
        <v>100</v>
      </c>
      <c r="O5" s="25">
        <v>10</v>
      </c>
      <c r="P5" s="25">
        <v>200</v>
      </c>
      <c r="Q5" s="25"/>
      <c r="R5" s="25">
        <v>100</v>
      </c>
      <c r="S5" s="25">
        <v>0</v>
      </c>
      <c r="T5" s="25">
        <v>0</v>
      </c>
      <c r="U5" s="25" t="s">
        <v>67</v>
      </c>
      <c r="V5" s="25">
        <v>90</v>
      </c>
      <c r="W5" s="25" t="s">
        <v>68</v>
      </c>
      <c r="X5" s="25"/>
      <c r="Y5" s="25">
        <v>1</v>
      </c>
      <c r="Z5" s="25">
        <v>101</v>
      </c>
      <c r="AA5" s="33"/>
      <c r="AB5" s="25">
        <v>1</v>
      </c>
      <c r="AC5" s="34" t="s">
        <v>69</v>
      </c>
      <c r="AD5" s="33"/>
      <c r="AE5" s="35"/>
      <c r="AG5" s="16"/>
    </row>
    <row r="6" customFormat="1" spans="1:31">
      <c r="A6" s="2">
        <v>10002</v>
      </c>
      <c r="B6" s="2" t="s">
        <v>70</v>
      </c>
      <c r="C6" s="25">
        <v>1</v>
      </c>
      <c r="D6" s="25">
        <v>45</v>
      </c>
      <c r="E6" s="25">
        <v>2</v>
      </c>
      <c r="F6" s="25">
        <v>15</v>
      </c>
      <c r="G6" s="25">
        <v>120</v>
      </c>
      <c r="H6" s="25">
        <v>20</v>
      </c>
      <c r="I6" s="25">
        <v>100</v>
      </c>
      <c r="J6" s="25">
        <v>50</v>
      </c>
      <c r="K6" s="25">
        <v>150</v>
      </c>
      <c r="L6" s="25">
        <v>0</v>
      </c>
      <c r="M6" s="25">
        <v>100</v>
      </c>
      <c r="N6" s="25">
        <v>100</v>
      </c>
      <c r="O6" s="25">
        <v>10</v>
      </c>
      <c r="P6" s="25">
        <v>200</v>
      </c>
      <c r="Q6" s="25"/>
      <c r="R6" s="25">
        <v>100</v>
      </c>
      <c r="S6" s="25">
        <v>0</v>
      </c>
      <c r="T6" s="25">
        <v>0</v>
      </c>
      <c r="U6" s="25" t="s">
        <v>71</v>
      </c>
      <c r="V6" s="25">
        <v>65</v>
      </c>
      <c r="W6" s="25" t="s">
        <v>72</v>
      </c>
      <c r="X6" s="25"/>
      <c r="Y6" s="25">
        <v>1</v>
      </c>
      <c r="Z6" s="25">
        <v>101</v>
      </c>
      <c r="AA6" s="33" t="s">
        <v>73</v>
      </c>
      <c r="AB6" s="25">
        <v>1</v>
      </c>
      <c r="AC6" s="34" t="s">
        <v>74</v>
      </c>
      <c r="AD6" s="33" t="s">
        <v>75</v>
      </c>
      <c r="AE6" s="35"/>
    </row>
    <row r="7" customFormat="1" spans="1:31">
      <c r="A7" s="2">
        <v>10003</v>
      </c>
      <c r="B7" s="2" t="s">
        <v>76</v>
      </c>
      <c r="C7" s="25">
        <v>1</v>
      </c>
      <c r="D7" s="25">
        <v>45</v>
      </c>
      <c r="E7" s="25">
        <v>2</v>
      </c>
      <c r="F7" s="25">
        <v>15</v>
      </c>
      <c r="G7" s="25">
        <v>140</v>
      </c>
      <c r="H7" s="25">
        <v>20</v>
      </c>
      <c r="I7" s="25">
        <v>100</v>
      </c>
      <c r="J7" s="25">
        <v>50</v>
      </c>
      <c r="K7" s="25">
        <v>150</v>
      </c>
      <c r="L7" s="25">
        <v>0</v>
      </c>
      <c r="M7" s="25">
        <v>100</v>
      </c>
      <c r="N7" s="25">
        <v>100</v>
      </c>
      <c r="O7" s="25">
        <v>10</v>
      </c>
      <c r="P7" s="25">
        <v>200</v>
      </c>
      <c r="Q7" s="25"/>
      <c r="R7" s="25">
        <v>100</v>
      </c>
      <c r="S7" s="25">
        <v>0</v>
      </c>
      <c r="T7" s="25">
        <v>0</v>
      </c>
      <c r="U7" s="25" t="s">
        <v>77</v>
      </c>
      <c r="V7" s="25">
        <v>90</v>
      </c>
      <c r="W7" s="25" t="s">
        <v>78</v>
      </c>
      <c r="X7" s="25"/>
      <c r="Y7" s="25">
        <v>1</v>
      </c>
      <c r="Z7" s="25">
        <v>101</v>
      </c>
      <c r="AA7" s="33">
        <v>30005</v>
      </c>
      <c r="AB7" s="25">
        <v>1</v>
      </c>
      <c r="AC7" s="34" t="s">
        <v>79</v>
      </c>
      <c r="AD7" s="33" t="s">
        <v>80</v>
      </c>
      <c r="AE7" s="35"/>
    </row>
    <row r="8" customFormat="1" spans="1:31">
      <c r="A8" s="2">
        <v>10004</v>
      </c>
      <c r="B8" s="2" t="s">
        <v>81</v>
      </c>
      <c r="C8" s="25">
        <v>1</v>
      </c>
      <c r="D8" s="25">
        <v>45</v>
      </c>
      <c r="E8" s="25">
        <v>2</v>
      </c>
      <c r="F8" s="25">
        <v>15</v>
      </c>
      <c r="G8" s="25">
        <v>100</v>
      </c>
      <c r="H8" s="25">
        <v>20</v>
      </c>
      <c r="I8" s="25">
        <v>100</v>
      </c>
      <c r="J8" s="25">
        <v>50</v>
      </c>
      <c r="K8" s="25">
        <v>150</v>
      </c>
      <c r="L8" s="25">
        <v>0</v>
      </c>
      <c r="M8" s="25">
        <v>100</v>
      </c>
      <c r="N8" s="25">
        <v>100</v>
      </c>
      <c r="O8" s="25">
        <v>10</v>
      </c>
      <c r="P8" s="25">
        <v>200</v>
      </c>
      <c r="Q8" s="25"/>
      <c r="R8" s="25">
        <v>100</v>
      </c>
      <c r="S8" s="25">
        <v>0</v>
      </c>
      <c r="T8" s="25">
        <v>0</v>
      </c>
      <c r="U8" s="25" t="s">
        <v>82</v>
      </c>
      <c r="V8" s="25">
        <v>90</v>
      </c>
      <c r="W8" s="25" t="s">
        <v>83</v>
      </c>
      <c r="X8" s="25"/>
      <c r="Y8" s="25">
        <v>1</v>
      </c>
      <c r="Z8" s="25">
        <v>103</v>
      </c>
      <c r="AA8" s="33" t="s">
        <v>84</v>
      </c>
      <c r="AB8" s="25">
        <v>1</v>
      </c>
      <c r="AC8" s="34" t="s">
        <v>85</v>
      </c>
      <c r="AD8" s="33" t="s">
        <v>86</v>
      </c>
      <c r="AE8" s="35"/>
    </row>
    <row r="9" customFormat="1" spans="1:31">
      <c r="A9" s="2">
        <v>10005</v>
      </c>
      <c r="B9" s="2" t="s">
        <v>87</v>
      </c>
      <c r="C9" s="25">
        <v>1</v>
      </c>
      <c r="D9" s="25">
        <v>45</v>
      </c>
      <c r="E9" s="25">
        <v>2</v>
      </c>
      <c r="F9" s="25">
        <v>15</v>
      </c>
      <c r="G9" s="25">
        <v>120</v>
      </c>
      <c r="H9" s="25">
        <v>20</v>
      </c>
      <c r="I9" s="25">
        <v>100</v>
      </c>
      <c r="J9" s="25">
        <v>50</v>
      </c>
      <c r="K9" s="25">
        <v>150</v>
      </c>
      <c r="L9" s="25">
        <v>0</v>
      </c>
      <c r="M9" s="25">
        <v>100</v>
      </c>
      <c r="N9" s="25">
        <v>100</v>
      </c>
      <c r="O9" s="25">
        <v>10</v>
      </c>
      <c r="P9" s="25">
        <v>200</v>
      </c>
      <c r="Q9" s="25"/>
      <c r="R9" s="25">
        <v>30</v>
      </c>
      <c r="S9" s="25">
        <v>0</v>
      </c>
      <c r="T9" s="25">
        <v>0</v>
      </c>
      <c r="U9" s="25" t="s">
        <v>88</v>
      </c>
      <c r="V9" s="25">
        <v>75</v>
      </c>
      <c r="W9" s="25" t="s">
        <v>89</v>
      </c>
      <c r="X9" s="25"/>
      <c r="Y9" s="25">
        <v>1</v>
      </c>
      <c r="Z9" s="25">
        <v>101</v>
      </c>
      <c r="AA9" s="33" t="s">
        <v>90</v>
      </c>
      <c r="AB9" s="25">
        <v>1</v>
      </c>
      <c r="AC9" s="34" t="s">
        <v>91</v>
      </c>
      <c r="AD9" s="33" t="s">
        <v>92</v>
      </c>
      <c r="AE9" s="35"/>
    </row>
    <row r="10" customFormat="1" spans="1:31">
      <c r="A10" s="2">
        <v>10006</v>
      </c>
      <c r="B10" s="2" t="s">
        <v>93</v>
      </c>
      <c r="C10" s="25">
        <v>1</v>
      </c>
      <c r="D10" s="25">
        <v>45</v>
      </c>
      <c r="E10" s="25">
        <v>2</v>
      </c>
      <c r="F10" s="25">
        <v>15</v>
      </c>
      <c r="G10" s="25">
        <v>140</v>
      </c>
      <c r="H10" s="25">
        <v>20</v>
      </c>
      <c r="I10" s="25">
        <v>100</v>
      </c>
      <c r="J10" s="25">
        <v>50</v>
      </c>
      <c r="K10" s="25">
        <v>150</v>
      </c>
      <c r="L10" s="25">
        <v>0</v>
      </c>
      <c r="M10" s="25">
        <v>100</v>
      </c>
      <c r="N10" s="25">
        <v>100</v>
      </c>
      <c r="O10" s="25">
        <v>10</v>
      </c>
      <c r="P10" s="25">
        <v>200</v>
      </c>
      <c r="Q10" s="25"/>
      <c r="R10" s="25">
        <v>100</v>
      </c>
      <c r="S10" s="25">
        <v>0</v>
      </c>
      <c r="T10" s="25">
        <v>0</v>
      </c>
      <c r="U10" s="25" t="s">
        <v>94</v>
      </c>
      <c r="V10" s="25">
        <v>90</v>
      </c>
      <c r="W10" s="25" t="s">
        <v>95</v>
      </c>
      <c r="X10" s="25"/>
      <c r="Y10" s="25">
        <v>1</v>
      </c>
      <c r="Z10" s="25">
        <v>101</v>
      </c>
      <c r="AA10" s="33"/>
      <c r="AB10" s="25">
        <v>2</v>
      </c>
      <c r="AC10" s="34" t="s">
        <v>96</v>
      </c>
      <c r="AD10" s="33" t="s">
        <v>97</v>
      </c>
      <c r="AE10" s="35"/>
    </row>
    <row r="11" customFormat="1" ht="33" spans="1:31">
      <c r="A11" s="2">
        <v>10007</v>
      </c>
      <c r="B11" s="2" t="s">
        <v>98</v>
      </c>
      <c r="C11" s="25">
        <v>1</v>
      </c>
      <c r="D11" s="25">
        <v>45</v>
      </c>
      <c r="E11" s="25">
        <v>2</v>
      </c>
      <c r="F11" s="25">
        <v>15</v>
      </c>
      <c r="G11" s="25">
        <v>120</v>
      </c>
      <c r="H11" s="25">
        <v>20</v>
      </c>
      <c r="I11" s="25">
        <v>100</v>
      </c>
      <c r="J11" s="25">
        <v>50</v>
      </c>
      <c r="K11" s="25">
        <v>150</v>
      </c>
      <c r="L11" s="25">
        <v>0</v>
      </c>
      <c r="M11" s="25">
        <v>100</v>
      </c>
      <c r="N11" s="25">
        <v>100</v>
      </c>
      <c r="O11" s="25">
        <v>10</v>
      </c>
      <c r="P11" s="25">
        <v>200</v>
      </c>
      <c r="Q11" s="25"/>
      <c r="R11" s="25">
        <v>100</v>
      </c>
      <c r="S11" s="25">
        <v>0</v>
      </c>
      <c r="T11" s="25">
        <v>0</v>
      </c>
      <c r="U11" s="25" t="s">
        <v>99</v>
      </c>
      <c r="V11" s="25">
        <v>90</v>
      </c>
      <c r="W11" s="25" t="s">
        <v>100</v>
      </c>
      <c r="X11" s="25"/>
      <c r="Y11" s="25">
        <v>1</v>
      </c>
      <c r="Z11" s="25">
        <v>101</v>
      </c>
      <c r="AA11" s="33" t="s">
        <v>101</v>
      </c>
      <c r="AB11" s="25">
        <v>1</v>
      </c>
      <c r="AC11" s="36" t="s">
        <v>102</v>
      </c>
      <c r="AD11" s="33" t="s">
        <v>103</v>
      </c>
      <c r="AE11" s="35"/>
    </row>
    <row r="12" customFormat="1" spans="1:31">
      <c r="A12" s="2">
        <v>10008</v>
      </c>
      <c r="B12" s="2" t="s">
        <v>104</v>
      </c>
      <c r="C12" s="25">
        <v>1</v>
      </c>
      <c r="D12" s="25">
        <v>45</v>
      </c>
      <c r="E12" s="25">
        <v>2</v>
      </c>
      <c r="F12" s="25">
        <v>15</v>
      </c>
      <c r="G12" s="25">
        <v>100</v>
      </c>
      <c r="H12" s="25">
        <v>20</v>
      </c>
      <c r="I12" s="25">
        <v>100</v>
      </c>
      <c r="J12" s="25">
        <v>50</v>
      </c>
      <c r="K12" s="25">
        <v>150</v>
      </c>
      <c r="L12" s="25">
        <v>0</v>
      </c>
      <c r="M12" s="25">
        <v>100</v>
      </c>
      <c r="N12" s="25">
        <v>100</v>
      </c>
      <c r="O12" s="25">
        <v>10</v>
      </c>
      <c r="P12" s="25">
        <v>200</v>
      </c>
      <c r="Q12" s="25"/>
      <c r="R12" s="25">
        <v>100</v>
      </c>
      <c r="S12" s="25">
        <v>0</v>
      </c>
      <c r="T12" s="25">
        <v>0</v>
      </c>
      <c r="U12" s="25" t="s">
        <v>105</v>
      </c>
      <c r="V12" s="25">
        <v>80</v>
      </c>
      <c r="W12" s="25" t="s">
        <v>106</v>
      </c>
      <c r="X12" s="25"/>
      <c r="Y12" s="25">
        <v>1</v>
      </c>
      <c r="Z12" s="25">
        <v>103</v>
      </c>
      <c r="AA12" s="33" t="s">
        <v>84</v>
      </c>
      <c r="AB12" s="25">
        <v>1</v>
      </c>
      <c r="AC12" s="34" t="s">
        <v>107</v>
      </c>
      <c r="AD12" s="33" t="s">
        <v>108</v>
      </c>
      <c r="AE12" s="35"/>
    </row>
    <row r="13" customFormat="1" spans="1:31">
      <c r="A13" s="2">
        <v>10009</v>
      </c>
      <c r="B13" s="2" t="s">
        <v>109</v>
      </c>
      <c r="C13" s="25">
        <v>1</v>
      </c>
      <c r="D13" s="25">
        <v>45</v>
      </c>
      <c r="E13" s="25">
        <v>2</v>
      </c>
      <c r="F13" s="25">
        <v>15</v>
      </c>
      <c r="G13" s="25">
        <v>120</v>
      </c>
      <c r="H13" s="25">
        <v>20</v>
      </c>
      <c r="I13" s="25">
        <v>100</v>
      </c>
      <c r="J13" s="25">
        <v>50</v>
      </c>
      <c r="K13" s="25">
        <v>150</v>
      </c>
      <c r="L13" s="25">
        <v>0</v>
      </c>
      <c r="M13" s="25">
        <v>100</v>
      </c>
      <c r="N13" s="25">
        <v>100</v>
      </c>
      <c r="O13" s="25">
        <v>10</v>
      </c>
      <c r="P13" s="25">
        <v>200</v>
      </c>
      <c r="Q13" s="25"/>
      <c r="R13" s="25">
        <v>100</v>
      </c>
      <c r="S13" s="25">
        <v>0</v>
      </c>
      <c r="T13" s="25">
        <v>0</v>
      </c>
      <c r="U13" s="25" t="s">
        <v>110</v>
      </c>
      <c r="V13" s="25">
        <v>85</v>
      </c>
      <c r="W13" s="25" t="s">
        <v>111</v>
      </c>
      <c r="X13" s="25"/>
      <c r="Y13" s="25">
        <v>1</v>
      </c>
      <c r="Z13" s="25">
        <v>101</v>
      </c>
      <c r="AA13" s="33" t="s">
        <v>112</v>
      </c>
      <c r="AB13" s="25">
        <v>1</v>
      </c>
      <c r="AC13" s="34" t="s">
        <v>113</v>
      </c>
      <c r="AD13" s="33" t="s">
        <v>114</v>
      </c>
      <c r="AE13" s="35"/>
    </row>
    <row r="14" customFormat="1" spans="1:31">
      <c r="A14" s="2">
        <v>10010</v>
      </c>
      <c r="B14" s="2" t="s">
        <v>115</v>
      </c>
      <c r="C14" s="25">
        <v>1</v>
      </c>
      <c r="D14" s="25">
        <v>45</v>
      </c>
      <c r="E14" s="25">
        <v>2</v>
      </c>
      <c r="F14" s="25">
        <v>15</v>
      </c>
      <c r="G14" s="25">
        <v>120</v>
      </c>
      <c r="H14" s="25">
        <v>20</v>
      </c>
      <c r="I14" s="25">
        <v>100</v>
      </c>
      <c r="J14" s="25">
        <v>50</v>
      </c>
      <c r="K14" s="25">
        <v>150</v>
      </c>
      <c r="L14" s="25">
        <v>0</v>
      </c>
      <c r="M14" s="25">
        <v>100</v>
      </c>
      <c r="N14" s="25">
        <v>100</v>
      </c>
      <c r="O14" s="25">
        <v>10</v>
      </c>
      <c r="P14" s="25">
        <v>200</v>
      </c>
      <c r="Q14" s="25"/>
      <c r="R14" s="25">
        <v>100</v>
      </c>
      <c r="S14" s="25">
        <v>0</v>
      </c>
      <c r="T14" s="25">
        <v>0</v>
      </c>
      <c r="U14" s="25" t="s">
        <v>116</v>
      </c>
      <c r="V14" s="25">
        <v>85</v>
      </c>
      <c r="W14" s="25" t="s">
        <v>117</v>
      </c>
      <c r="X14" s="25"/>
      <c r="Y14" s="25">
        <v>1</v>
      </c>
      <c r="Z14" s="25">
        <v>101</v>
      </c>
      <c r="AA14" s="33" t="s">
        <v>118</v>
      </c>
      <c r="AB14" s="25">
        <v>1</v>
      </c>
      <c r="AC14" s="34" t="s">
        <v>119</v>
      </c>
      <c r="AD14" s="33" t="s">
        <v>120</v>
      </c>
      <c r="AE14" s="35"/>
    </row>
    <row r="15" customFormat="1" spans="1:31">
      <c r="A15" s="2">
        <v>10011</v>
      </c>
      <c r="B15" s="2" t="s">
        <v>121</v>
      </c>
      <c r="C15" s="25">
        <v>1</v>
      </c>
      <c r="D15" s="25">
        <v>45</v>
      </c>
      <c r="E15" s="25">
        <v>2</v>
      </c>
      <c r="F15" s="25">
        <v>15</v>
      </c>
      <c r="G15" s="25">
        <v>120</v>
      </c>
      <c r="H15" s="25">
        <v>20</v>
      </c>
      <c r="I15" s="25">
        <v>100</v>
      </c>
      <c r="J15" s="25">
        <v>50</v>
      </c>
      <c r="K15" s="25">
        <v>150</v>
      </c>
      <c r="L15" s="25">
        <v>0</v>
      </c>
      <c r="M15" s="25">
        <v>100</v>
      </c>
      <c r="N15" s="25">
        <v>100</v>
      </c>
      <c r="O15" s="25">
        <v>10</v>
      </c>
      <c r="P15" s="25">
        <v>200</v>
      </c>
      <c r="Q15" s="25"/>
      <c r="R15" s="25">
        <v>100</v>
      </c>
      <c r="S15" s="25">
        <v>0</v>
      </c>
      <c r="T15" s="25">
        <v>0</v>
      </c>
      <c r="U15" s="25" t="s">
        <v>122</v>
      </c>
      <c r="V15" s="25">
        <v>85</v>
      </c>
      <c r="W15" s="25" t="s">
        <v>123</v>
      </c>
      <c r="X15" s="25"/>
      <c r="Y15" s="25">
        <v>1</v>
      </c>
      <c r="Z15" s="25">
        <v>101</v>
      </c>
      <c r="AA15" s="33" t="s">
        <v>124</v>
      </c>
      <c r="AB15" s="25">
        <v>1</v>
      </c>
      <c r="AC15" s="34" t="s">
        <v>125</v>
      </c>
      <c r="AD15" s="33" t="s">
        <v>126</v>
      </c>
      <c r="AE15" s="35"/>
    </row>
    <row r="16" spans="1:30">
      <c r="A16" s="2">
        <v>10012</v>
      </c>
      <c r="B16" s="2" t="s">
        <v>127</v>
      </c>
      <c r="C16" s="25">
        <v>1</v>
      </c>
      <c r="D16" s="25">
        <v>45</v>
      </c>
      <c r="E16" s="25">
        <v>2</v>
      </c>
      <c r="F16" s="25">
        <v>15</v>
      </c>
      <c r="G16" s="25">
        <v>120</v>
      </c>
      <c r="H16" s="25">
        <v>20</v>
      </c>
      <c r="I16" s="25">
        <v>100</v>
      </c>
      <c r="J16" s="25">
        <v>50</v>
      </c>
      <c r="K16" s="25">
        <v>150</v>
      </c>
      <c r="L16" s="25">
        <v>0</v>
      </c>
      <c r="M16" s="25">
        <v>100</v>
      </c>
      <c r="N16" s="25">
        <v>100</v>
      </c>
      <c r="O16" s="25">
        <v>10</v>
      </c>
      <c r="P16" s="25">
        <v>200</v>
      </c>
      <c r="Q16" s="25"/>
      <c r="R16" s="25">
        <v>100</v>
      </c>
      <c r="S16" s="25">
        <v>0</v>
      </c>
      <c r="T16" s="25">
        <v>0</v>
      </c>
      <c r="U16" s="25" t="s">
        <v>128</v>
      </c>
      <c r="V16" s="25">
        <v>90</v>
      </c>
      <c r="W16" s="25" t="s">
        <v>129</v>
      </c>
      <c r="X16" s="25"/>
      <c r="Y16" s="25">
        <v>1</v>
      </c>
      <c r="Z16" s="25">
        <v>101</v>
      </c>
      <c r="AA16" s="33" t="s">
        <v>130</v>
      </c>
      <c r="AB16" s="25">
        <v>1</v>
      </c>
      <c r="AC16" s="34" t="s">
        <v>131</v>
      </c>
      <c r="AD16" s="33" t="s">
        <v>132</v>
      </c>
    </row>
    <row r="17" spans="1:30">
      <c r="A17" s="2">
        <v>10013</v>
      </c>
      <c r="B17" s="2" t="s">
        <v>133</v>
      </c>
      <c r="C17" s="25">
        <v>1</v>
      </c>
      <c r="D17" s="25">
        <v>45</v>
      </c>
      <c r="E17" s="25">
        <v>2</v>
      </c>
      <c r="F17" s="25">
        <v>15</v>
      </c>
      <c r="G17" s="25">
        <v>100</v>
      </c>
      <c r="H17" s="25">
        <v>20</v>
      </c>
      <c r="I17" s="25">
        <v>100</v>
      </c>
      <c r="J17" s="25">
        <v>50</v>
      </c>
      <c r="K17" s="25">
        <v>150</v>
      </c>
      <c r="L17" s="25">
        <v>0</v>
      </c>
      <c r="M17" s="25">
        <v>100</v>
      </c>
      <c r="N17" s="25">
        <v>100</v>
      </c>
      <c r="O17" s="25">
        <v>10</v>
      </c>
      <c r="P17" s="25">
        <v>200</v>
      </c>
      <c r="Q17" s="25"/>
      <c r="R17" s="25">
        <v>100</v>
      </c>
      <c r="S17" s="25">
        <v>0</v>
      </c>
      <c r="T17" s="25">
        <v>0</v>
      </c>
      <c r="U17" s="25" t="s">
        <v>134</v>
      </c>
      <c r="V17" s="25">
        <v>90</v>
      </c>
      <c r="W17" s="25" t="s">
        <v>135</v>
      </c>
      <c r="X17" s="25"/>
      <c r="Y17" s="25">
        <v>1</v>
      </c>
      <c r="Z17" s="25">
        <v>103</v>
      </c>
      <c r="AA17" s="33" t="s">
        <v>136</v>
      </c>
      <c r="AB17" s="25">
        <v>1</v>
      </c>
      <c r="AC17" s="36" t="s">
        <v>137</v>
      </c>
      <c r="AD17" s="33" t="s">
        <v>138</v>
      </c>
    </row>
    <row r="18" spans="1:30">
      <c r="A18" s="2">
        <v>10014</v>
      </c>
      <c r="B18" s="2" t="s">
        <v>139</v>
      </c>
      <c r="C18" s="25">
        <v>1</v>
      </c>
      <c r="D18" s="25">
        <v>45</v>
      </c>
      <c r="E18" s="25">
        <v>2</v>
      </c>
      <c r="F18" s="25">
        <v>15</v>
      </c>
      <c r="G18" s="25">
        <v>120</v>
      </c>
      <c r="H18" s="25">
        <v>20</v>
      </c>
      <c r="I18" s="25">
        <v>100</v>
      </c>
      <c r="J18" s="25">
        <v>50</v>
      </c>
      <c r="K18" s="25">
        <v>150</v>
      </c>
      <c r="L18" s="25">
        <v>0</v>
      </c>
      <c r="M18" s="25">
        <v>100</v>
      </c>
      <c r="N18" s="25">
        <v>100</v>
      </c>
      <c r="O18" s="25">
        <v>10</v>
      </c>
      <c r="P18" s="25">
        <v>200</v>
      </c>
      <c r="Q18" s="25"/>
      <c r="R18" s="25">
        <v>100</v>
      </c>
      <c r="S18" s="25">
        <v>0</v>
      </c>
      <c r="T18" s="25">
        <v>0</v>
      </c>
      <c r="U18" s="25" t="s">
        <v>140</v>
      </c>
      <c r="V18" s="25">
        <v>90</v>
      </c>
      <c r="W18" s="25" t="s">
        <v>141</v>
      </c>
      <c r="X18" s="25"/>
      <c r="Y18" s="25">
        <v>1</v>
      </c>
      <c r="Z18" s="25">
        <v>101</v>
      </c>
      <c r="AA18" s="33" t="s">
        <v>142</v>
      </c>
      <c r="AB18" s="25">
        <v>1</v>
      </c>
      <c r="AC18" s="34" t="s">
        <v>143</v>
      </c>
      <c r="AD18" s="33" t="s">
        <v>144</v>
      </c>
    </row>
    <row r="19" spans="1:30">
      <c r="A19" s="2">
        <v>10015</v>
      </c>
      <c r="B19" s="2" t="s">
        <v>145</v>
      </c>
      <c r="C19" s="25">
        <v>1</v>
      </c>
      <c r="D19" s="25">
        <v>45</v>
      </c>
      <c r="E19" s="25">
        <v>2</v>
      </c>
      <c r="F19" s="25">
        <v>15</v>
      </c>
      <c r="G19" s="25">
        <v>120</v>
      </c>
      <c r="H19" s="25">
        <v>20</v>
      </c>
      <c r="I19" s="25">
        <v>100</v>
      </c>
      <c r="J19" s="25">
        <v>50</v>
      </c>
      <c r="K19" s="25">
        <v>150</v>
      </c>
      <c r="L19" s="25">
        <v>0</v>
      </c>
      <c r="M19" s="25">
        <v>100</v>
      </c>
      <c r="N19" s="25">
        <v>100</v>
      </c>
      <c r="O19" s="25">
        <v>10</v>
      </c>
      <c r="P19" s="25">
        <v>200</v>
      </c>
      <c r="Q19" s="25"/>
      <c r="R19" s="25">
        <v>100</v>
      </c>
      <c r="S19" s="25">
        <v>0</v>
      </c>
      <c r="T19" s="25">
        <v>-1</v>
      </c>
      <c r="U19" s="25" t="s">
        <v>146</v>
      </c>
      <c r="V19" s="25">
        <v>90</v>
      </c>
      <c r="W19" s="25" t="s">
        <v>147</v>
      </c>
      <c r="X19" s="25"/>
      <c r="Y19" s="25">
        <v>1</v>
      </c>
      <c r="Z19" s="25">
        <v>101</v>
      </c>
      <c r="AA19" s="33"/>
      <c r="AB19" s="25">
        <v>1</v>
      </c>
      <c r="AC19" s="34" t="s">
        <v>148</v>
      </c>
      <c r="AD19" s="25"/>
    </row>
    <row r="20" spans="1:30">
      <c r="A20" s="2">
        <v>10016</v>
      </c>
      <c r="B20" s="2" t="s">
        <v>149</v>
      </c>
      <c r="C20" s="25">
        <v>1</v>
      </c>
      <c r="D20" s="25">
        <v>20</v>
      </c>
      <c r="E20" s="25">
        <v>2</v>
      </c>
      <c r="F20" s="25">
        <v>15</v>
      </c>
      <c r="G20" s="25">
        <v>120</v>
      </c>
      <c r="H20" s="25">
        <v>20</v>
      </c>
      <c r="I20" s="25">
        <v>100</v>
      </c>
      <c r="J20" s="25">
        <v>50</v>
      </c>
      <c r="K20" s="25">
        <v>150</v>
      </c>
      <c r="L20" s="25">
        <v>0</v>
      </c>
      <c r="M20" s="25">
        <v>100</v>
      </c>
      <c r="N20" s="25">
        <v>100</v>
      </c>
      <c r="O20" s="25">
        <v>10</v>
      </c>
      <c r="P20" s="25">
        <v>200</v>
      </c>
      <c r="Q20" s="25"/>
      <c r="R20" s="25">
        <v>100</v>
      </c>
      <c r="S20" s="25">
        <v>0</v>
      </c>
      <c r="T20" s="25">
        <v>-1</v>
      </c>
      <c r="U20" s="25" t="s">
        <v>150</v>
      </c>
      <c r="V20" s="25">
        <v>65</v>
      </c>
      <c r="W20" s="25"/>
      <c r="X20" s="25"/>
      <c r="Y20" s="25">
        <v>0</v>
      </c>
      <c r="Z20" s="25">
        <v>101</v>
      </c>
      <c r="AA20" s="33"/>
      <c r="AB20" s="25">
        <v>1</v>
      </c>
      <c r="AC20" s="34" t="s">
        <v>151</v>
      </c>
      <c r="AD20" s="25"/>
    </row>
    <row r="21" spans="1:30">
      <c r="A21" s="2">
        <v>10017</v>
      </c>
      <c r="B21" s="2" t="s">
        <v>152</v>
      </c>
      <c r="C21" s="25">
        <v>1</v>
      </c>
      <c r="D21" s="25">
        <v>45</v>
      </c>
      <c r="E21" s="25">
        <v>2</v>
      </c>
      <c r="F21" s="25">
        <v>15</v>
      </c>
      <c r="G21" s="25">
        <v>120</v>
      </c>
      <c r="H21" s="25">
        <v>20</v>
      </c>
      <c r="I21" s="25">
        <v>100</v>
      </c>
      <c r="J21" s="25">
        <v>50</v>
      </c>
      <c r="K21" s="25">
        <v>150</v>
      </c>
      <c r="L21" s="25">
        <v>0</v>
      </c>
      <c r="M21" s="25">
        <v>100</v>
      </c>
      <c r="N21" s="25">
        <v>100</v>
      </c>
      <c r="O21" s="25">
        <v>10</v>
      </c>
      <c r="P21" s="25">
        <v>200</v>
      </c>
      <c r="Q21" s="25"/>
      <c r="R21" s="25">
        <v>100</v>
      </c>
      <c r="S21" s="25">
        <v>0</v>
      </c>
      <c r="T21" s="25">
        <v>0</v>
      </c>
      <c r="U21" s="25" t="s">
        <v>153</v>
      </c>
      <c r="V21" s="25">
        <v>90</v>
      </c>
      <c r="W21" s="25" t="s">
        <v>154</v>
      </c>
      <c r="X21" s="25"/>
      <c r="Y21" s="25">
        <v>1</v>
      </c>
      <c r="Z21" s="25">
        <v>101</v>
      </c>
      <c r="AA21" s="33"/>
      <c r="AB21" s="25">
        <v>1</v>
      </c>
      <c r="AC21" s="34" t="s">
        <v>155</v>
      </c>
      <c r="AD21" s="25"/>
    </row>
    <row r="22" spans="1:30">
      <c r="A22" s="2">
        <v>10018</v>
      </c>
      <c r="B22" s="2" t="s">
        <v>156</v>
      </c>
      <c r="C22" s="25">
        <v>1</v>
      </c>
      <c r="D22" s="25">
        <v>45</v>
      </c>
      <c r="E22" s="25">
        <v>2</v>
      </c>
      <c r="F22" s="25">
        <v>15</v>
      </c>
      <c r="G22" s="25">
        <v>100</v>
      </c>
      <c r="H22" s="25">
        <v>20</v>
      </c>
      <c r="I22" s="25">
        <v>100</v>
      </c>
      <c r="J22" s="25">
        <v>50</v>
      </c>
      <c r="K22" s="25">
        <v>150</v>
      </c>
      <c r="L22" s="25">
        <v>0</v>
      </c>
      <c r="M22" s="25">
        <v>100</v>
      </c>
      <c r="N22" s="25">
        <v>100</v>
      </c>
      <c r="O22" s="25">
        <v>10</v>
      </c>
      <c r="P22" s="25">
        <v>200</v>
      </c>
      <c r="Q22" s="25"/>
      <c r="R22" s="25">
        <v>100</v>
      </c>
      <c r="S22" s="25">
        <v>0</v>
      </c>
      <c r="T22" s="25">
        <v>0</v>
      </c>
      <c r="U22" s="25" t="s">
        <v>157</v>
      </c>
      <c r="V22" s="25">
        <v>90</v>
      </c>
      <c r="W22" s="25" t="s">
        <v>158</v>
      </c>
      <c r="X22" s="25"/>
      <c r="Y22" s="25">
        <v>1</v>
      </c>
      <c r="Z22" s="25">
        <v>101</v>
      </c>
      <c r="AA22" s="33" t="s">
        <v>84</v>
      </c>
      <c r="AB22" s="25">
        <v>1</v>
      </c>
      <c r="AC22" s="34" t="s">
        <v>159</v>
      </c>
      <c r="AD22" s="33" t="s">
        <v>160</v>
      </c>
    </row>
    <row r="23" spans="1:30">
      <c r="A23" s="2">
        <v>10019</v>
      </c>
      <c r="B23" s="8" t="s">
        <v>161</v>
      </c>
      <c r="C23" s="25">
        <v>1</v>
      </c>
      <c r="D23" s="25">
        <v>5</v>
      </c>
      <c r="E23" s="25">
        <v>2</v>
      </c>
      <c r="F23" s="25">
        <v>15</v>
      </c>
      <c r="G23" s="25">
        <v>120</v>
      </c>
      <c r="H23" s="25">
        <v>20</v>
      </c>
      <c r="I23" s="25">
        <v>100</v>
      </c>
      <c r="J23" s="25">
        <v>50</v>
      </c>
      <c r="K23" s="25">
        <v>150</v>
      </c>
      <c r="L23" s="25">
        <v>0</v>
      </c>
      <c r="M23" s="25">
        <v>100</v>
      </c>
      <c r="N23" s="25">
        <v>100</v>
      </c>
      <c r="O23" s="25">
        <v>10</v>
      </c>
      <c r="P23" s="25">
        <v>200</v>
      </c>
      <c r="Q23" s="25"/>
      <c r="R23" s="25">
        <v>100</v>
      </c>
      <c r="S23" s="25">
        <v>0</v>
      </c>
      <c r="T23" s="25">
        <v>-1</v>
      </c>
      <c r="U23" s="8" t="s">
        <v>153</v>
      </c>
      <c r="V23" s="8">
        <v>90</v>
      </c>
      <c r="W23" s="8" t="s">
        <v>68</v>
      </c>
      <c r="X23" s="25"/>
      <c r="Y23" s="25">
        <v>1</v>
      </c>
      <c r="Z23" s="25">
        <v>101</v>
      </c>
      <c r="AA23" s="33" t="s">
        <v>162</v>
      </c>
      <c r="AB23" s="25">
        <v>1</v>
      </c>
      <c r="AC23" s="34" t="s">
        <v>163</v>
      </c>
      <c r="AD23" s="33" t="s">
        <v>164</v>
      </c>
    </row>
    <row r="24" spans="1:30">
      <c r="A24" s="2">
        <v>10020</v>
      </c>
      <c r="B24" s="8" t="s">
        <v>165</v>
      </c>
      <c r="C24" s="25">
        <v>1</v>
      </c>
      <c r="D24" s="25">
        <v>45</v>
      </c>
      <c r="E24" s="25">
        <v>3</v>
      </c>
      <c r="F24" s="25">
        <v>15</v>
      </c>
      <c r="G24" s="25">
        <v>120</v>
      </c>
      <c r="H24" s="25">
        <v>20</v>
      </c>
      <c r="I24" s="25">
        <v>100</v>
      </c>
      <c r="J24" s="25">
        <v>50</v>
      </c>
      <c r="K24" s="25">
        <v>150</v>
      </c>
      <c r="L24" s="25">
        <v>0</v>
      </c>
      <c r="M24" s="25">
        <v>100</v>
      </c>
      <c r="N24" s="25">
        <v>100</v>
      </c>
      <c r="O24" s="25">
        <v>10</v>
      </c>
      <c r="P24" s="25">
        <v>200</v>
      </c>
      <c r="Q24" s="25"/>
      <c r="R24" s="25">
        <v>100</v>
      </c>
      <c r="S24" s="25">
        <v>0</v>
      </c>
      <c r="T24" s="25">
        <v>-1</v>
      </c>
      <c r="U24" s="25" t="s">
        <v>157</v>
      </c>
      <c r="V24" s="8">
        <v>90</v>
      </c>
      <c r="W24" s="8" t="s">
        <v>78</v>
      </c>
      <c r="X24" s="25"/>
      <c r="Y24" s="25">
        <v>1</v>
      </c>
      <c r="Z24" s="25">
        <v>101</v>
      </c>
      <c r="AA24" s="33"/>
      <c r="AB24" s="25">
        <v>1</v>
      </c>
      <c r="AC24" s="34" t="s">
        <v>166</v>
      </c>
      <c r="AD24" s="33"/>
    </row>
    <row r="25" spans="1:30">
      <c r="A25" s="2">
        <v>10021</v>
      </c>
      <c r="B25" s="8" t="s">
        <v>167</v>
      </c>
      <c r="C25" s="25">
        <v>1</v>
      </c>
      <c r="D25" s="25">
        <v>45</v>
      </c>
      <c r="E25" s="25">
        <v>2</v>
      </c>
      <c r="F25" s="25">
        <v>15</v>
      </c>
      <c r="G25" s="25">
        <v>140</v>
      </c>
      <c r="H25" s="25">
        <v>20</v>
      </c>
      <c r="I25" s="25">
        <v>100</v>
      </c>
      <c r="J25" s="25">
        <v>50</v>
      </c>
      <c r="K25" s="25">
        <v>150</v>
      </c>
      <c r="L25" s="25">
        <v>0</v>
      </c>
      <c r="M25" s="25">
        <v>100</v>
      </c>
      <c r="N25" s="25">
        <v>100</v>
      </c>
      <c r="O25" s="25">
        <v>10</v>
      </c>
      <c r="P25" s="25">
        <v>200</v>
      </c>
      <c r="Q25" s="25"/>
      <c r="R25" s="25">
        <v>100</v>
      </c>
      <c r="S25" s="25">
        <v>0</v>
      </c>
      <c r="T25" s="25">
        <v>-1</v>
      </c>
      <c r="U25" s="8" t="s">
        <v>153</v>
      </c>
      <c r="V25" s="8">
        <v>90</v>
      </c>
      <c r="W25" s="8" t="s">
        <v>68</v>
      </c>
      <c r="X25" s="25"/>
      <c r="Y25" s="25">
        <v>1</v>
      </c>
      <c r="Z25" s="25">
        <v>101</v>
      </c>
      <c r="AA25" s="33">
        <v>30047</v>
      </c>
      <c r="AB25" s="25">
        <v>1</v>
      </c>
      <c r="AC25" s="34" t="s">
        <v>168</v>
      </c>
      <c r="AD25" s="33"/>
    </row>
    <row r="26" spans="1:30">
      <c r="A26" s="2">
        <v>10022</v>
      </c>
      <c r="B26" s="8" t="s">
        <v>169</v>
      </c>
      <c r="C26" s="25">
        <v>1</v>
      </c>
      <c r="D26" s="25">
        <v>45</v>
      </c>
      <c r="E26" s="25">
        <v>2</v>
      </c>
      <c r="F26" s="25">
        <v>15</v>
      </c>
      <c r="G26" s="25">
        <v>150</v>
      </c>
      <c r="H26" s="25">
        <v>20</v>
      </c>
      <c r="I26" s="25">
        <v>100</v>
      </c>
      <c r="J26" s="25">
        <v>50</v>
      </c>
      <c r="K26" s="25">
        <v>150</v>
      </c>
      <c r="L26" s="25">
        <v>0</v>
      </c>
      <c r="M26" s="25">
        <v>100</v>
      </c>
      <c r="N26" s="25">
        <v>100</v>
      </c>
      <c r="O26" s="25">
        <v>10</v>
      </c>
      <c r="P26" s="25">
        <v>200</v>
      </c>
      <c r="Q26" s="25"/>
      <c r="R26" s="25">
        <v>100</v>
      </c>
      <c r="S26" s="25">
        <v>0</v>
      </c>
      <c r="T26" s="25">
        <v>-1</v>
      </c>
      <c r="U26" s="8" t="s">
        <v>153</v>
      </c>
      <c r="V26" s="8">
        <v>90</v>
      </c>
      <c r="W26" s="8" t="s">
        <v>68</v>
      </c>
      <c r="X26" s="25"/>
      <c r="Y26" s="25">
        <v>1</v>
      </c>
      <c r="Z26" s="25">
        <v>101</v>
      </c>
      <c r="AA26" s="33" t="s">
        <v>170</v>
      </c>
      <c r="AB26" s="25">
        <v>1</v>
      </c>
      <c r="AC26" s="34" t="s">
        <v>171</v>
      </c>
      <c r="AD26" s="33"/>
    </row>
    <row r="27" spans="1:30">
      <c r="A27" s="2">
        <v>10023</v>
      </c>
      <c r="B27" s="8" t="s">
        <v>172</v>
      </c>
      <c r="C27" s="25">
        <v>1</v>
      </c>
      <c r="D27" s="25">
        <v>45</v>
      </c>
      <c r="E27" s="25">
        <v>2</v>
      </c>
      <c r="F27" s="25">
        <v>15</v>
      </c>
      <c r="G27" s="25">
        <v>120</v>
      </c>
      <c r="H27" s="25">
        <v>20</v>
      </c>
      <c r="I27" s="25">
        <v>100</v>
      </c>
      <c r="J27" s="25">
        <v>50</v>
      </c>
      <c r="K27" s="25">
        <v>150</v>
      </c>
      <c r="L27" s="25">
        <v>0</v>
      </c>
      <c r="M27" s="25">
        <v>100</v>
      </c>
      <c r="N27" s="25">
        <v>100</v>
      </c>
      <c r="O27" s="25">
        <v>10</v>
      </c>
      <c r="P27" s="25">
        <v>200</v>
      </c>
      <c r="Q27" s="25"/>
      <c r="R27" s="25">
        <v>30</v>
      </c>
      <c r="S27" s="25">
        <v>0</v>
      </c>
      <c r="T27" s="25">
        <v>-1</v>
      </c>
      <c r="U27" s="8" t="s">
        <v>140</v>
      </c>
      <c r="V27" s="8">
        <v>90</v>
      </c>
      <c r="W27" s="8" t="s">
        <v>68</v>
      </c>
      <c r="X27" s="25"/>
      <c r="Y27" s="25">
        <v>1</v>
      </c>
      <c r="Z27" s="25">
        <v>101</v>
      </c>
      <c r="AA27" s="33" t="s">
        <v>173</v>
      </c>
      <c r="AB27" s="25">
        <v>1</v>
      </c>
      <c r="AC27" s="34" t="s">
        <v>174</v>
      </c>
      <c r="AD27" s="33" t="s">
        <v>175</v>
      </c>
    </row>
    <row r="28" spans="1:30">
      <c r="A28" s="2">
        <v>10024</v>
      </c>
      <c r="B28" s="8" t="s">
        <v>176</v>
      </c>
      <c r="C28" s="25">
        <v>1</v>
      </c>
      <c r="D28" s="25">
        <v>45</v>
      </c>
      <c r="E28" s="25">
        <v>2</v>
      </c>
      <c r="F28" s="25">
        <v>15</v>
      </c>
      <c r="G28" s="25">
        <v>140</v>
      </c>
      <c r="H28" s="25">
        <v>20</v>
      </c>
      <c r="I28" s="25">
        <v>100</v>
      </c>
      <c r="J28" s="25">
        <v>50</v>
      </c>
      <c r="K28" s="25">
        <v>150</v>
      </c>
      <c r="L28" s="25">
        <v>0</v>
      </c>
      <c r="M28" s="25">
        <v>100</v>
      </c>
      <c r="N28" s="25">
        <v>100</v>
      </c>
      <c r="O28" s="25">
        <v>10</v>
      </c>
      <c r="P28" s="25">
        <v>200</v>
      </c>
      <c r="Q28" s="25"/>
      <c r="R28" s="25">
        <v>100</v>
      </c>
      <c r="S28" s="25">
        <v>0</v>
      </c>
      <c r="T28" s="25">
        <v>-1</v>
      </c>
      <c r="U28" s="8" t="s">
        <v>77</v>
      </c>
      <c r="V28" s="8">
        <v>50</v>
      </c>
      <c r="W28" s="8" t="s">
        <v>78</v>
      </c>
      <c r="X28" s="25"/>
      <c r="Y28" s="25">
        <v>0</v>
      </c>
      <c r="Z28" s="25">
        <v>101</v>
      </c>
      <c r="AA28" s="33">
        <v>30005</v>
      </c>
      <c r="AB28" s="25">
        <v>1</v>
      </c>
      <c r="AC28" s="34" t="s">
        <v>79</v>
      </c>
      <c r="AD28" s="33" t="s">
        <v>80</v>
      </c>
    </row>
    <row r="29" spans="1:30">
      <c r="A29" s="3">
        <v>20001</v>
      </c>
      <c r="B29" s="3" t="s">
        <v>177</v>
      </c>
      <c r="C29" s="25">
        <v>1</v>
      </c>
      <c r="D29" s="25">
        <v>450</v>
      </c>
      <c r="E29" s="25">
        <v>5</v>
      </c>
      <c r="F29" s="25">
        <v>15</v>
      </c>
      <c r="G29" s="25">
        <v>60</v>
      </c>
      <c r="H29" s="25">
        <v>20</v>
      </c>
      <c r="I29" s="25">
        <v>100</v>
      </c>
      <c r="J29" s="25">
        <v>50</v>
      </c>
      <c r="K29" s="25">
        <v>150</v>
      </c>
      <c r="L29" s="25">
        <v>0</v>
      </c>
      <c r="M29" s="25">
        <v>100</v>
      </c>
      <c r="N29" s="25">
        <v>100</v>
      </c>
      <c r="O29" s="25">
        <v>10</v>
      </c>
      <c r="P29" s="25">
        <v>200</v>
      </c>
      <c r="Q29" s="25"/>
      <c r="R29" s="25">
        <v>50</v>
      </c>
      <c r="S29" s="25">
        <v>1</v>
      </c>
      <c r="T29" s="25">
        <v>1</v>
      </c>
      <c r="U29" s="25" t="s">
        <v>178</v>
      </c>
      <c r="V29" s="25">
        <v>180</v>
      </c>
      <c r="W29" s="25" t="s">
        <v>179</v>
      </c>
      <c r="X29" s="25"/>
      <c r="Y29" s="25">
        <v>0</v>
      </c>
      <c r="Z29" s="25">
        <v>101</v>
      </c>
      <c r="AA29" s="33" t="s">
        <v>180</v>
      </c>
      <c r="AB29" s="25">
        <v>1</v>
      </c>
      <c r="AC29" s="34" t="s">
        <v>181</v>
      </c>
      <c r="AD29" s="33"/>
    </row>
    <row r="30" spans="1:30">
      <c r="A30" s="3">
        <v>20002</v>
      </c>
      <c r="B30" s="3" t="s">
        <v>182</v>
      </c>
      <c r="C30" s="25">
        <v>1</v>
      </c>
      <c r="D30" s="25">
        <v>450</v>
      </c>
      <c r="E30" s="25">
        <v>5</v>
      </c>
      <c r="F30" s="25">
        <v>15</v>
      </c>
      <c r="G30" s="25">
        <v>60</v>
      </c>
      <c r="H30" s="25">
        <v>20</v>
      </c>
      <c r="I30" s="25">
        <v>100</v>
      </c>
      <c r="J30" s="25">
        <v>50</v>
      </c>
      <c r="K30" s="25">
        <v>150</v>
      </c>
      <c r="L30" s="25">
        <v>0</v>
      </c>
      <c r="M30" s="25">
        <v>100</v>
      </c>
      <c r="N30" s="25">
        <v>100</v>
      </c>
      <c r="O30" s="25">
        <v>10</v>
      </c>
      <c r="P30" s="25">
        <v>200</v>
      </c>
      <c r="Q30" s="25"/>
      <c r="R30" s="25">
        <v>50</v>
      </c>
      <c r="S30" s="25">
        <v>1</v>
      </c>
      <c r="T30" s="25">
        <v>1</v>
      </c>
      <c r="U30" s="25" t="s">
        <v>183</v>
      </c>
      <c r="V30" s="25">
        <v>150</v>
      </c>
      <c r="W30" s="25" t="s">
        <v>184</v>
      </c>
      <c r="X30" s="25"/>
      <c r="Y30" s="25">
        <v>0</v>
      </c>
      <c r="Z30" s="25">
        <v>101</v>
      </c>
      <c r="AA30" s="33" t="s">
        <v>185</v>
      </c>
      <c r="AB30" s="25">
        <v>1</v>
      </c>
      <c r="AC30" s="36" t="s">
        <v>186</v>
      </c>
      <c r="AD30" s="33" t="s">
        <v>187</v>
      </c>
    </row>
    <row r="31" spans="1:30">
      <c r="A31" s="3">
        <v>20003</v>
      </c>
      <c r="B31" s="3" t="s">
        <v>188</v>
      </c>
      <c r="C31" s="25">
        <v>1</v>
      </c>
      <c r="D31" s="25">
        <v>450</v>
      </c>
      <c r="E31" s="25">
        <v>5</v>
      </c>
      <c r="F31" s="25">
        <v>15</v>
      </c>
      <c r="G31" s="25">
        <v>80</v>
      </c>
      <c r="H31" s="25">
        <v>20</v>
      </c>
      <c r="I31" s="25">
        <v>100</v>
      </c>
      <c r="J31" s="25">
        <v>50</v>
      </c>
      <c r="K31" s="25">
        <v>150</v>
      </c>
      <c r="L31" s="25">
        <v>0</v>
      </c>
      <c r="M31" s="25">
        <v>100</v>
      </c>
      <c r="N31" s="25">
        <v>100</v>
      </c>
      <c r="O31" s="25">
        <v>10</v>
      </c>
      <c r="P31" s="25">
        <v>200</v>
      </c>
      <c r="Q31" s="25"/>
      <c r="R31" s="25">
        <v>50</v>
      </c>
      <c r="S31" s="25">
        <v>1</v>
      </c>
      <c r="T31" s="25">
        <v>1</v>
      </c>
      <c r="U31" s="25" t="s">
        <v>189</v>
      </c>
      <c r="V31" s="25">
        <v>200</v>
      </c>
      <c r="W31" s="25" t="s">
        <v>190</v>
      </c>
      <c r="X31" s="25"/>
      <c r="Y31" s="25">
        <v>0</v>
      </c>
      <c r="Z31" s="25">
        <v>101</v>
      </c>
      <c r="AA31" s="33" t="s">
        <v>191</v>
      </c>
      <c r="AB31" s="25">
        <v>2</v>
      </c>
      <c r="AC31" s="34" t="s">
        <v>192</v>
      </c>
      <c r="AD31" s="33" t="s">
        <v>193</v>
      </c>
    </row>
    <row r="32" spans="1:30">
      <c r="A32" s="3">
        <v>20004</v>
      </c>
      <c r="B32" s="3" t="s">
        <v>194</v>
      </c>
      <c r="C32" s="25">
        <v>1</v>
      </c>
      <c r="D32" s="25">
        <v>450</v>
      </c>
      <c r="E32" s="25">
        <v>5</v>
      </c>
      <c r="F32" s="25">
        <v>15</v>
      </c>
      <c r="G32" s="25">
        <v>60</v>
      </c>
      <c r="H32" s="25">
        <v>20</v>
      </c>
      <c r="I32" s="25">
        <v>100</v>
      </c>
      <c r="J32" s="25">
        <v>50</v>
      </c>
      <c r="K32" s="25">
        <v>150</v>
      </c>
      <c r="L32" s="25">
        <v>0</v>
      </c>
      <c r="M32" s="25">
        <v>100</v>
      </c>
      <c r="N32" s="25">
        <v>100</v>
      </c>
      <c r="O32" s="25">
        <v>10</v>
      </c>
      <c r="P32" s="25">
        <v>200</v>
      </c>
      <c r="Q32" s="25"/>
      <c r="R32" s="25">
        <v>50</v>
      </c>
      <c r="S32" s="25">
        <v>1</v>
      </c>
      <c r="T32" s="25">
        <v>1</v>
      </c>
      <c r="U32" s="25" t="s">
        <v>195</v>
      </c>
      <c r="V32" s="25">
        <v>180</v>
      </c>
      <c r="W32" s="25" t="s">
        <v>196</v>
      </c>
      <c r="X32" s="25"/>
      <c r="Y32" s="25">
        <v>0</v>
      </c>
      <c r="Z32" s="25">
        <v>101</v>
      </c>
      <c r="AA32" s="33" t="s">
        <v>197</v>
      </c>
      <c r="AB32" s="25">
        <v>1</v>
      </c>
      <c r="AC32" s="36" t="s">
        <v>198</v>
      </c>
      <c r="AD32" s="33" t="s">
        <v>199</v>
      </c>
    </row>
    <row r="33" spans="1:30">
      <c r="A33" s="3">
        <v>20005</v>
      </c>
      <c r="B33" s="3" t="s">
        <v>200</v>
      </c>
      <c r="C33" s="25">
        <v>1</v>
      </c>
      <c r="D33" s="25">
        <v>450</v>
      </c>
      <c r="E33" s="25">
        <v>5</v>
      </c>
      <c r="F33" s="25">
        <v>15</v>
      </c>
      <c r="G33" s="25">
        <v>50</v>
      </c>
      <c r="H33" s="25">
        <v>20</v>
      </c>
      <c r="I33" s="25">
        <v>100</v>
      </c>
      <c r="J33" s="25">
        <v>50</v>
      </c>
      <c r="K33" s="25">
        <v>150</v>
      </c>
      <c r="L33" s="25">
        <v>0</v>
      </c>
      <c r="M33" s="25">
        <v>100</v>
      </c>
      <c r="N33" s="25">
        <v>100</v>
      </c>
      <c r="O33" s="25">
        <v>10</v>
      </c>
      <c r="P33" s="25">
        <v>200</v>
      </c>
      <c r="Q33" s="25"/>
      <c r="R33" s="25">
        <v>50</v>
      </c>
      <c r="S33" s="25">
        <v>1</v>
      </c>
      <c r="T33" s="25">
        <v>1</v>
      </c>
      <c r="U33" s="25" t="s">
        <v>201</v>
      </c>
      <c r="V33" s="25">
        <v>160</v>
      </c>
      <c r="W33" s="25" t="s">
        <v>202</v>
      </c>
      <c r="X33" s="25"/>
      <c r="Y33" s="25">
        <v>0</v>
      </c>
      <c r="Z33" s="25">
        <v>103</v>
      </c>
      <c r="AA33" s="33" t="s">
        <v>203</v>
      </c>
      <c r="AB33" s="25">
        <v>1</v>
      </c>
      <c r="AC33" s="34" t="s">
        <v>204</v>
      </c>
      <c r="AD33" s="33" t="s">
        <v>205</v>
      </c>
    </row>
    <row r="34" spans="1:30">
      <c r="A34" s="3">
        <v>20006</v>
      </c>
      <c r="B34" s="3" t="s">
        <v>206</v>
      </c>
      <c r="C34" s="25">
        <v>1</v>
      </c>
      <c r="D34" s="25">
        <v>450</v>
      </c>
      <c r="E34" s="25">
        <v>5</v>
      </c>
      <c r="F34" s="25">
        <v>15</v>
      </c>
      <c r="G34" s="25">
        <v>60</v>
      </c>
      <c r="H34" s="25">
        <v>20</v>
      </c>
      <c r="I34" s="25">
        <v>100</v>
      </c>
      <c r="J34" s="25">
        <v>50</v>
      </c>
      <c r="K34" s="25">
        <v>150</v>
      </c>
      <c r="L34" s="25">
        <v>0</v>
      </c>
      <c r="M34" s="25">
        <v>100</v>
      </c>
      <c r="N34" s="25">
        <v>100</v>
      </c>
      <c r="O34" s="25">
        <v>10</v>
      </c>
      <c r="P34" s="25">
        <v>200</v>
      </c>
      <c r="Q34" s="25"/>
      <c r="R34" s="25">
        <v>50</v>
      </c>
      <c r="S34" s="25">
        <v>1</v>
      </c>
      <c r="T34" s="25">
        <v>1</v>
      </c>
      <c r="U34" s="25" t="s">
        <v>207</v>
      </c>
      <c r="V34" s="25">
        <v>180</v>
      </c>
      <c r="W34" s="25" t="s">
        <v>208</v>
      </c>
      <c r="X34" s="25"/>
      <c r="Y34" s="25">
        <v>0</v>
      </c>
      <c r="Z34" s="25">
        <v>101</v>
      </c>
      <c r="AA34" s="33" t="s">
        <v>209</v>
      </c>
      <c r="AB34" s="25">
        <v>1</v>
      </c>
      <c r="AC34" s="34" t="s">
        <v>113</v>
      </c>
      <c r="AD34" s="33" t="s">
        <v>210</v>
      </c>
    </row>
    <row r="35" spans="1:30">
      <c r="A35" s="3">
        <v>20007</v>
      </c>
      <c r="B35" s="3" t="s">
        <v>211</v>
      </c>
      <c r="C35" s="25">
        <v>1</v>
      </c>
      <c r="D35" s="25">
        <v>450</v>
      </c>
      <c r="E35" s="25">
        <v>5</v>
      </c>
      <c r="F35" s="25">
        <v>15</v>
      </c>
      <c r="G35" s="25">
        <v>60</v>
      </c>
      <c r="H35" s="25">
        <v>20</v>
      </c>
      <c r="I35" s="25">
        <v>100</v>
      </c>
      <c r="J35" s="25">
        <v>50</v>
      </c>
      <c r="K35" s="25">
        <v>150</v>
      </c>
      <c r="L35" s="25">
        <v>0</v>
      </c>
      <c r="M35" s="25">
        <v>100</v>
      </c>
      <c r="N35" s="25">
        <v>100</v>
      </c>
      <c r="O35" s="25">
        <v>10</v>
      </c>
      <c r="P35" s="25">
        <v>200</v>
      </c>
      <c r="Q35" s="25"/>
      <c r="R35" s="25">
        <v>50</v>
      </c>
      <c r="S35" s="25">
        <v>1</v>
      </c>
      <c r="T35" s="25">
        <v>1</v>
      </c>
      <c r="U35" s="25" t="s">
        <v>212</v>
      </c>
      <c r="V35" s="25">
        <v>200</v>
      </c>
      <c r="W35" s="25" t="s">
        <v>213</v>
      </c>
      <c r="X35" s="25"/>
      <c r="Y35" s="25">
        <v>0</v>
      </c>
      <c r="Z35" s="25">
        <v>101</v>
      </c>
      <c r="AA35" s="33" t="s">
        <v>214</v>
      </c>
      <c r="AB35" s="25">
        <v>1</v>
      </c>
      <c r="AC35" s="34" t="s">
        <v>215</v>
      </c>
      <c r="AD35" s="33" t="s">
        <v>216</v>
      </c>
    </row>
    <row r="36" spans="1:30">
      <c r="A36" s="3">
        <v>20008</v>
      </c>
      <c r="B36" s="3" t="s">
        <v>217</v>
      </c>
      <c r="C36" s="25">
        <v>1</v>
      </c>
      <c r="D36" s="25">
        <v>450</v>
      </c>
      <c r="E36" s="25">
        <v>5</v>
      </c>
      <c r="F36" s="25">
        <v>15</v>
      </c>
      <c r="G36" s="25">
        <v>60</v>
      </c>
      <c r="H36" s="25">
        <v>20</v>
      </c>
      <c r="I36" s="25">
        <v>100</v>
      </c>
      <c r="J36" s="25">
        <v>50</v>
      </c>
      <c r="K36" s="25">
        <v>150</v>
      </c>
      <c r="L36" s="25">
        <v>0</v>
      </c>
      <c r="M36" s="25">
        <v>100</v>
      </c>
      <c r="N36" s="25">
        <v>100</v>
      </c>
      <c r="O36" s="25">
        <v>10</v>
      </c>
      <c r="P36" s="25">
        <v>200</v>
      </c>
      <c r="Q36" s="25"/>
      <c r="R36" s="25">
        <v>50</v>
      </c>
      <c r="S36" s="25">
        <v>1</v>
      </c>
      <c r="T36" s="25">
        <v>1</v>
      </c>
      <c r="U36" s="25" t="s">
        <v>218</v>
      </c>
      <c r="V36" s="25">
        <v>190</v>
      </c>
      <c r="W36" s="25" t="s">
        <v>219</v>
      </c>
      <c r="X36" s="25"/>
      <c r="Y36" s="25">
        <v>0</v>
      </c>
      <c r="Z36" s="25">
        <v>101</v>
      </c>
      <c r="AA36" s="33" t="s">
        <v>220</v>
      </c>
      <c r="AB36" s="25">
        <v>1</v>
      </c>
      <c r="AC36" s="34" t="s">
        <v>221</v>
      </c>
      <c r="AD36" s="33" t="s">
        <v>222</v>
      </c>
    </row>
    <row r="37" spans="1:30">
      <c r="A37" s="3">
        <v>20009</v>
      </c>
      <c r="B37" s="3" t="s">
        <v>223</v>
      </c>
      <c r="C37" s="25">
        <v>1</v>
      </c>
      <c r="D37" s="25">
        <v>450</v>
      </c>
      <c r="E37" s="25">
        <v>5</v>
      </c>
      <c r="F37" s="25">
        <v>15</v>
      </c>
      <c r="G37" s="25">
        <v>60</v>
      </c>
      <c r="H37" s="25">
        <v>20</v>
      </c>
      <c r="I37" s="25">
        <v>100</v>
      </c>
      <c r="J37" s="25">
        <v>50</v>
      </c>
      <c r="K37" s="25">
        <v>150</v>
      </c>
      <c r="L37" s="25">
        <v>0</v>
      </c>
      <c r="M37" s="25">
        <v>100</v>
      </c>
      <c r="N37" s="25">
        <v>100</v>
      </c>
      <c r="O37" s="25">
        <v>10</v>
      </c>
      <c r="P37" s="25">
        <v>200</v>
      </c>
      <c r="Q37" s="25"/>
      <c r="R37" s="25">
        <v>50</v>
      </c>
      <c r="S37" s="25">
        <v>1</v>
      </c>
      <c r="T37" s="25">
        <v>1</v>
      </c>
      <c r="U37" s="25" t="s">
        <v>224</v>
      </c>
      <c r="V37" s="25">
        <v>170</v>
      </c>
      <c r="W37" s="25" t="s">
        <v>225</v>
      </c>
      <c r="X37" s="25"/>
      <c r="Y37" s="25">
        <v>0</v>
      </c>
      <c r="Z37" s="25">
        <v>101</v>
      </c>
      <c r="AA37" s="33" t="s">
        <v>226</v>
      </c>
      <c r="AB37" s="25">
        <v>1</v>
      </c>
      <c r="AC37" s="34" t="s">
        <v>227</v>
      </c>
      <c r="AD37" s="33" t="s">
        <v>228</v>
      </c>
    </row>
    <row r="38" spans="1:30">
      <c r="A38" s="3">
        <v>20010</v>
      </c>
      <c r="B38" s="3" t="s">
        <v>229</v>
      </c>
      <c r="C38" s="25">
        <v>1</v>
      </c>
      <c r="D38" s="25">
        <v>450</v>
      </c>
      <c r="E38" s="25">
        <v>5</v>
      </c>
      <c r="F38" s="25">
        <v>15</v>
      </c>
      <c r="G38" s="25">
        <v>50</v>
      </c>
      <c r="H38" s="25">
        <v>20</v>
      </c>
      <c r="I38" s="25">
        <v>100</v>
      </c>
      <c r="J38" s="25">
        <v>50</v>
      </c>
      <c r="K38" s="25">
        <v>150</v>
      </c>
      <c r="L38" s="25">
        <v>0</v>
      </c>
      <c r="M38" s="25">
        <v>100</v>
      </c>
      <c r="N38" s="25">
        <v>100</v>
      </c>
      <c r="O38" s="25">
        <v>10</v>
      </c>
      <c r="P38" s="25">
        <v>200</v>
      </c>
      <c r="Q38" s="25"/>
      <c r="R38" s="25">
        <v>50</v>
      </c>
      <c r="S38" s="25">
        <v>1</v>
      </c>
      <c r="T38" s="25">
        <v>1</v>
      </c>
      <c r="U38" s="25" t="s">
        <v>230</v>
      </c>
      <c r="V38" s="25">
        <v>180</v>
      </c>
      <c r="W38" s="25" t="s">
        <v>231</v>
      </c>
      <c r="X38" s="25"/>
      <c r="Y38" s="25">
        <v>0</v>
      </c>
      <c r="Z38" s="25">
        <v>102</v>
      </c>
      <c r="AA38" s="33" t="s">
        <v>232</v>
      </c>
      <c r="AB38" s="25">
        <v>1</v>
      </c>
      <c r="AC38" s="36" t="s">
        <v>233</v>
      </c>
      <c r="AD38" s="33" t="s">
        <v>234</v>
      </c>
    </row>
    <row r="39" spans="1:30">
      <c r="A39" s="3">
        <v>20011</v>
      </c>
      <c r="B39" s="3" t="s">
        <v>235</v>
      </c>
      <c r="C39" s="25">
        <v>1</v>
      </c>
      <c r="D39" s="25">
        <v>450</v>
      </c>
      <c r="E39" s="25">
        <v>5</v>
      </c>
      <c r="F39" s="25">
        <v>15</v>
      </c>
      <c r="G39" s="25">
        <v>60</v>
      </c>
      <c r="H39" s="25">
        <v>20</v>
      </c>
      <c r="I39" s="25">
        <v>100</v>
      </c>
      <c r="J39" s="25">
        <v>50</v>
      </c>
      <c r="K39" s="25">
        <v>150</v>
      </c>
      <c r="L39" s="25">
        <v>0</v>
      </c>
      <c r="M39" s="25">
        <v>100</v>
      </c>
      <c r="N39" s="25">
        <v>100</v>
      </c>
      <c r="O39" s="25">
        <v>10</v>
      </c>
      <c r="P39" s="25">
        <v>200</v>
      </c>
      <c r="Q39" s="25"/>
      <c r="R39" s="25">
        <v>50</v>
      </c>
      <c r="S39" s="25">
        <v>1</v>
      </c>
      <c r="T39" s="25">
        <v>-1</v>
      </c>
      <c r="U39" s="25" t="s">
        <v>236</v>
      </c>
      <c r="V39" s="25">
        <v>80</v>
      </c>
      <c r="W39" s="25"/>
      <c r="X39" s="25"/>
      <c r="Y39" s="25">
        <v>0</v>
      </c>
      <c r="Z39" s="25">
        <v>101</v>
      </c>
      <c r="AA39" s="33"/>
      <c r="AB39" s="25">
        <v>1</v>
      </c>
      <c r="AC39" s="34" t="s">
        <v>237</v>
      </c>
      <c r="AD39" s="33"/>
    </row>
    <row r="40" spans="1:30">
      <c r="A40" s="3">
        <v>20012</v>
      </c>
      <c r="B40" s="8" t="s">
        <v>238</v>
      </c>
      <c r="C40" s="25">
        <v>1</v>
      </c>
      <c r="D40" s="25">
        <v>450</v>
      </c>
      <c r="E40" s="25">
        <v>5</v>
      </c>
      <c r="F40" s="25">
        <v>15</v>
      </c>
      <c r="G40" s="25">
        <v>60</v>
      </c>
      <c r="H40" s="25">
        <v>20</v>
      </c>
      <c r="I40" s="25">
        <v>100</v>
      </c>
      <c r="J40" s="25">
        <v>50</v>
      </c>
      <c r="K40" s="25">
        <v>150</v>
      </c>
      <c r="L40" s="25">
        <v>0</v>
      </c>
      <c r="M40" s="25">
        <v>100</v>
      </c>
      <c r="N40" s="25">
        <v>100</v>
      </c>
      <c r="O40" s="25">
        <v>10</v>
      </c>
      <c r="P40" s="25">
        <v>200</v>
      </c>
      <c r="Q40" s="25"/>
      <c r="R40" s="25">
        <v>50</v>
      </c>
      <c r="S40" s="25">
        <v>1</v>
      </c>
      <c r="T40" s="25">
        <v>-1</v>
      </c>
      <c r="U40" s="8" t="s">
        <v>236</v>
      </c>
      <c r="V40" s="25">
        <v>80</v>
      </c>
      <c r="W40" s="25"/>
      <c r="X40" s="25"/>
      <c r="Y40" s="25">
        <v>0</v>
      </c>
      <c r="Z40" s="25">
        <v>101</v>
      </c>
      <c r="AA40" s="33" t="s">
        <v>239</v>
      </c>
      <c r="AB40" s="25">
        <v>1</v>
      </c>
      <c r="AC40" s="34" t="s">
        <v>240</v>
      </c>
      <c r="AD40" s="33"/>
    </row>
    <row r="41" spans="1:30">
      <c r="A41" s="3">
        <v>20013</v>
      </c>
      <c r="B41" s="8" t="s">
        <v>241</v>
      </c>
      <c r="C41" s="25">
        <v>1</v>
      </c>
      <c r="D41" s="25">
        <v>450</v>
      </c>
      <c r="E41" s="25">
        <v>5</v>
      </c>
      <c r="F41" s="25">
        <v>15</v>
      </c>
      <c r="G41" s="25">
        <v>40</v>
      </c>
      <c r="H41" s="25">
        <v>20</v>
      </c>
      <c r="I41" s="25">
        <v>100</v>
      </c>
      <c r="J41" s="25">
        <v>50</v>
      </c>
      <c r="K41" s="25">
        <v>150</v>
      </c>
      <c r="L41" s="25">
        <v>0</v>
      </c>
      <c r="M41" s="25">
        <v>100</v>
      </c>
      <c r="N41" s="25">
        <v>100</v>
      </c>
      <c r="O41" s="25">
        <v>10</v>
      </c>
      <c r="P41" s="25">
        <v>200</v>
      </c>
      <c r="Q41" s="25"/>
      <c r="R41" s="25">
        <v>20</v>
      </c>
      <c r="S41" s="25">
        <v>1</v>
      </c>
      <c r="T41" s="25">
        <v>-1</v>
      </c>
      <c r="U41" s="8" t="s">
        <v>236</v>
      </c>
      <c r="V41" s="25">
        <v>80</v>
      </c>
      <c r="W41" s="25"/>
      <c r="X41" s="25"/>
      <c r="Y41" s="25">
        <v>0</v>
      </c>
      <c r="Z41" s="25">
        <v>101</v>
      </c>
      <c r="AA41" s="33" t="s">
        <v>242</v>
      </c>
      <c r="AB41" s="25">
        <v>1</v>
      </c>
      <c r="AC41" s="34" t="s">
        <v>243</v>
      </c>
      <c r="AD41" s="33"/>
    </row>
    <row r="42" ht="33" spans="1:30">
      <c r="A42" s="3">
        <v>20014</v>
      </c>
      <c r="B42" s="8" t="s">
        <v>244</v>
      </c>
      <c r="C42" s="25">
        <v>1</v>
      </c>
      <c r="D42" s="25">
        <v>450</v>
      </c>
      <c r="E42" s="25">
        <v>5</v>
      </c>
      <c r="F42" s="25">
        <v>15</v>
      </c>
      <c r="G42" s="25">
        <v>50</v>
      </c>
      <c r="H42" s="25">
        <v>20</v>
      </c>
      <c r="I42" s="25">
        <v>100</v>
      </c>
      <c r="J42" s="25">
        <v>50</v>
      </c>
      <c r="K42" s="25">
        <v>150</v>
      </c>
      <c r="L42" s="25">
        <v>0</v>
      </c>
      <c r="M42" s="25">
        <v>100</v>
      </c>
      <c r="N42" s="25">
        <v>100</v>
      </c>
      <c r="O42" s="25">
        <v>10</v>
      </c>
      <c r="P42" s="25">
        <v>200</v>
      </c>
      <c r="Q42" s="25"/>
      <c r="R42" s="25">
        <v>50</v>
      </c>
      <c r="S42" s="25">
        <v>1</v>
      </c>
      <c r="T42" s="25">
        <v>-1</v>
      </c>
      <c r="U42" s="8" t="s">
        <v>230</v>
      </c>
      <c r="V42" s="25">
        <v>180</v>
      </c>
      <c r="W42" s="25" t="s">
        <v>231</v>
      </c>
      <c r="X42" s="25"/>
      <c r="Y42" s="25">
        <v>0</v>
      </c>
      <c r="Z42" s="25">
        <v>102</v>
      </c>
      <c r="AA42" s="33" t="s">
        <v>245</v>
      </c>
      <c r="AB42" s="25">
        <v>1</v>
      </c>
      <c r="AC42" s="34" t="s">
        <v>246</v>
      </c>
      <c r="AD42" s="33"/>
    </row>
    <row r="43" spans="1:30">
      <c r="A43" s="3">
        <v>20015</v>
      </c>
      <c r="B43" s="8" t="s">
        <v>247</v>
      </c>
      <c r="C43" s="25">
        <v>1</v>
      </c>
      <c r="D43" s="25">
        <v>350</v>
      </c>
      <c r="E43" s="25">
        <v>2</v>
      </c>
      <c r="F43" s="25">
        <v>15</v>
      </c>
      <c r="G43" s="25">
        <v>100</v>
      </c>
      <c r="H43" s="25">
        <v>20</v>
      </c>
      <c r="I43" s="25">
        <v>100</v>
      </c>
      <c r="J43" s="25">
        <v>50</v>
      </c>
      <c r="K43" s="25">
        <v>150</v>
      </c>
      <c r="L43" s="25">
        <v>0</v>
      </c>
      <c r="M43" s="25">
        <v>100</v>
      </c>
      <c r="N43" s="25">
        <v>100</v>
      </c>
      <c r="O43" s="25">
        <v>10</v>
      </c>
      <c r="P43" s="25">
        <v>200</v>
      </c>
      <c r="Q43" s="25"/>
      <c r="R43" s="25">
        <v>50</v>
      </c>
      <c r="S43" s="25">
        <v>1</v>
      </c>
      <c r="T43" s="25">
        <v>-1</v>
      </c>
      <c r="U43" s="8" t="s">
        <v>236</v>
      </c>
      <c r="V43" s="25">
        <v>80</v>
      </c>
      <c r="W43" s="25"/>
      <c r="X43" s="25"/>
      <c r="Y43" s="25">
        <v>0</v>
      </c>
      <c r="Z43" s="25">
        <v>101</v>
      </c>
      <c r="AA43" s="33" t="s">
        <v>248</v>
      </c>
      <c r="AB43" s="25">
        <v>1</v>
      </c>
      <c r="AC43" s="34" t="s">
        <v>249</v>
      </c>
      <c r="AD43" s="33"/>
    </row>
    <row r="44" spans="1:30">
      <c r="A44" s="3">
        <v>20016</v>
      </c>
      <c r="B44" s="8" t="s">
        <v>250</v>
      </c>
      <c r="C44" s="25">
        <v>1</v>
      </c>
      <c r="D44" s="25">
        <v>450</v>
      </c>
      <c r="E44" s="25">
        <v>5</v>
      </c>
      <c r="F44" s="25">
        <v>15</v>
      </c>
      <c r="G44" s="25">
        <v>60</v>
      </c>
      <c r="H44" s="25">
        <v>20</v>
      </c>
      <c r="I44" s="25">
        <v>100</v>
      </c>
      <c r="J44" s="25">
        <v>50</v>
      </c>
      <c r="K44" s="25">
        <v>150</v>
      </c>
      <c r="L44" s="25">
        <v>0</v>
      </c>
      <c r="M44" s="25">
        <v>100</v>
      </c>
      <c r="N44" s="25">
        <v>100</v>
      </c>
      <c r="O44" s="25">
        <v>10</v>
      </c>
      <c r="P44" s="25">
        <v>200</v>
      </c>
      <c r="Q44" s="25"/>
      <c r="R44" s="25">
        <v>50</v>
      </c>
      <c r="S44" s="25">
        <v>1</v>
      </c>
      <c r="T44" s="25">
        <v>-1</v>
      </c>
      <c r="U44" s="8" t="s">
        <v>236</v>
      </c>
      <c r="V44" s="25">
        <v>80</v>
      </c>
      <c r="W44" s="25"/>
      <c r="X44" s="25"/>
      <c r="Y44" s="25">
        <v>0</v>
      </c>
      <c r="Z44" s="25">
        <v>101</v>
      </c>
      <c r="AA44" s="33">
        <v>30047</v>
      </c>
      <c r="AB44" s="25">
        <v>1</v>
      </c>
      <c r="AC44" s="34" t="s">
        <v>251</v>
      </c>
      <c r="AD44" s="33"/>
    </row>
    <row r="45" spans="1:30">
      <c r="A45" s="3">
        <v>20017</v>
      </c>
      <c r="B45" s="8" t="s">
        <v>252</v>
      </c>
      <c r="C45" s="25">
        <v>1</v>
      </c>
      <c r="D45" s="25">
        <v>450</v>
      </c>
      <c r="E45" s="25">
        <v>5</v>
      </c>
      <c r="F45" s="25">
        <v>15</v>
      </c>
      <c r="G45" s="25">
        <v>60</v>
      </c>
      <c r="H45" s="25">
        <v>20</v>
      </c>
      <c r="I45" s="25">
        <v>100</v>
      </c>
      <c r="J45" s="25">
        <v>50</v>
      </c>
      <c r="K45" s="25">
        <v>150</v>
      </c>
      <c r="L45" s="25">
        <v>0</v>
      </c>
      <c r="M45" s="25">
        <v>100</v>
      </c>
      <c r="N45" s="25">
        <v>100</v>
      </c>
      <c r="O45" s="25">
        <v>10</v>
      </c>
      <c r="P45" s="25">
        <v>200</v>
      </c>
      <c r="Q45" s="25"/>
      <c r="R45" s="25">
        <v>50</v>
      </c>
      <c r="S45" s="25">
        <v>1</v>
      </c>
      <c r="T45" s="25">
        <v>-1</v>
      </c>
      <c r="U45" s="8" t="s">
        <v>236</v>
      </c>
      <c r="V45" s="25">
        <v>80</v>
      </c>
      <c r="W45" s="25"/>
      <c r="X45" s="25"/>
      <c r="Y45" s="25">
        <v>0</v>
      </c>
      <c r="Z45" s="25">
        <v>101</v>
      </c>
      <c r="AA45" s="33" t="s">
        <v>239</v>
      </c>
      <c r="AB45" s="25">
        <v>1</v>
      </c>
      <c r="AC45" s="34" t="s">
        <v>253</v>
      </c>
      <c r="AD45" s="33"/>
    </row>
    <row r="46" spans="1:30">
      <c r="A46" s="26">
        <v>30001</v>
      </c>
      <c r="B46" s="3" t="s">
        <v>254</v>
      </c>
      <c r="C46" s="25">
        <v>1</v>
      </c>
      <c r="D46" s="25">
        <v>450</v>
      </c>
      <c r="E46" s="25">
        <v>5</v>
      </c>
      <c r="F46" s="25">
        <v>15</v>
      </c>
      <c r="G46" s="25">
        <v>60</v>
      </c>
      <c r="H46" s="25">
        <v>20</v>
      </c>
      <c r="I46" s="25">
        <v>100</v>
      </c>
      <c r="J46" s="25">
        <v>50</v>
      </c>
      <c r="K46" s="25">
        <v>150</v>
      </c>
      <c r="L46" s="25">
        <v>0</v>
      </c>
      <c r="M46" s="25">
        <v>100</v>
      </c>
      <c r="N46" s="25">
        <v>100</v>
      </c>
      <c r="O46" s="25">
        <v>10</v>
      </c>
      <c r="P46" s="25">
        <v>200</v>
      </c>
      <c r="Q46" s="25"/>
      <c r="R46" s="25">
        <v>50</v>
      </c>
      <c r="S46" s="25">
        <v>2</v>
      </c>
      <c r="T46" s="25">
        <v>2</v>
      </c>
      <c r="U46" s="25" t="s">
        <v>178</v>
      </c>
      <c r="V46" s="25">
        <v>180</v>
      </c>
      <c r="W46" s="25" t="s">
        <v>179</v>
      </c>
      <c r="X46" s="25"/>
      <c r="Y46" s="25">
        <v>0</v>
      </c>
      <c r="Z46" s="25">
        <v>101</v>
      </c>
      <c r="AA46" s="33" t="s">
        <v>180</v>
      </c>
      <c r="AB46" s="25">
        <v>1</v>
      </c>
      <c r="AC46" s="33" t="s">
        <v>255</v>
      </c>
      <c r="AD46" s="33"/>
    </row>
    <row r="47" spans="1:30">
      <c r="A47" s="26">
        <v>30002</v>
      </c>
      <c r="B47" s="3" t="s">
        <v>256</v>
      </c>
      <c r="C47" s="25">
        <v>1</v>
      </c>
      <c r="D47" s="25">
        <v>450</v>
      </c>
      <c r="E47" s="25">
        <v>5</v>
      </c>
      <c r="F47" s="25">
        <v>15</v>
      </c>
      <c r="G47" s="25">
        <v>60</v>
      </c>
      <c r="H47" s="25">
        <v>20</v>
      </c>
      <c r="I47" s="25">
        <v>100</v>
      </c>
      <c r="J47" s="25">
        <v>50</v>
      </c>
      <c r="K47" s="25">
        <v>150</v>
      </c>
      <c r="L47" s="25">
        <v>0</v>
      </c>
      <c r="M47" s="25">
        <v>100</v>
      </c>
      <c r="N47" s="25">
        <v>100</v>
      </c>
      <c r="O47" s="25">
        <v>10</v>
      </c>
      <c r="P47" s="25">
        <v>200</v>
      </c>
      <c r="Q47" s="25"/>
      <c r="R47" s="25">
        <v>50</v>
      </c>
      <c r="S47" s="25">
        <v>2</v>
      </c>
      <c r="T47" s="25">
        <v>2</v>
      </c>
      <c r="U47" s="25" t="s">
        <v>183</v>
      </c>
      <c r="V47" s="25">
        <v>150</v>
      </c>
      <c r="W47" s="25" t="s">
        <v>184</v>
      </c>
      <c r="X47" s="25"/>
      <c r="Y47" s="25">
        <v>0</v>
      </c>
      <c r="Z47" s="25">
        <v>101</v>
      </c>
      <c r="AA47" s="33" t="s">
        <v>185</v>
      </c>
      <c r="AB47" s="25">
        <v>1</v>
      </c>
      <c r="AC47" s="33" t="s">
        <v>257</v>
      </c>
      <c r="AD47" s="33" t="s">
        <v>258</v>
      </c>
    </row>
    <row r="48" spans="1:30">
      <c r="A48" s="26">
        <v>30003</v>
      </c>
      <c r="B48" s="3" t="s">
        <v>259</v>
      </c>
      <c r="C48" s="25">
        <v>1</v>
      </c>
      <c r="D48" s="25">
        <v>450</v>
      </c>
      <c r="E48" s="25">
        <v>5</v>
      </c>
      <c r="F48" s="25">
        <v>15</v>
      </c>
      <c r="G48" s="25">
        <v>80</v>
      </c>
      <c r="H48" s="25">
        <v>20</v>
      </c>
      <c r="I48" s="25">
        <v>100</v>
      </c>
      <c r="J48" s="25">
        <v>50</v>
      </c>
      <c r="K48" s="25">
        <v>150</v>
      </c>
      <c r="L48" s="25">
        <v>0</v>
      </c>
      <c r="M48" s="25">
        <v>100</v>
      </c>
      <c r="N48" s="25">
        <v>100</v>
      </c>
      <c r="O48" s="25">
        <v>10</v>
      </c>
      <c r="P48" s="25">
        <v>200</v>
      </c>
      <c r="Q48" s="25"/>
      <c r="R48" s="25">
        <v>50</v>
      </c>
      <c r="S48" s="25">
        <v>2</v>
      </c>
      <c r="T48" s="25">
        <v>2</v>
      </c>
      <c r="U48" s="25" t="s">
        <v>189</v>
      </c>
      <c r="V48" s="25">
        <v>200</v>
      </c>
      <c r="W48" s="25" t="s">
        <v>190</v>
      </c>
      <c r="X48" s="25"/>
      <c r="Y48" s="25">
        <v>0</v>
      </c>
      <c r="Z48" s="25">
        <v>101</v>
      </c>
      <c r="AA48" s="33" t="s">
        <v>191</v>
      </c>
      <c r="AB48" s="25">
        <v>2</v>
      </c>
      <c r="AC48" s="33" t="s">
        <v>260</v>
      </c>
      <c r="AD48" s="33" t="s">
        <v>261</v>
      </c>
    </row>
    <row r="49" spans="1:30">
      <c r="A49" s="26">
        <v>30004</v>
      </c>
      <c r="B49" s="3" t="s">
        <v>262</v>
      </c>
      <c r="C49" s="25">
        <v>1</v>
      </c>
      <c r="D49" s="25">
        <v>450</v>
      </c>
      <c r="E49" s="25">
        <v>5</v>
      </c>
      <c r="F49" s="25">
        <v>15</v>
      </c>
      <c r="G49" s="25">
        <v>60</v>
      </c>
      <c r="H49" s="25">
        <v>20</v>
      </c>
      <c r="I49" s="25">
        <v>100</v>
      </c>
      <c r="J49" s="25">
        <v>50</v>
      </c>
      <c r="K49" s="25">
        <v>150</v>
      </c>
      <c r="L49" s="25">
        <v>0</v>
      </c>
      <c r="M49" s="25">
        <v>100</v>
      </c>
      <c r="N49" s="25">
        <v>100</v>
      </c>
      <c r="O49" s="25">
        <v>10</v>
      </c>
      <c r="P49" s="25">
        <v>200</v>
      </c>
      <c r="Q49" s="25"/>
      <c r="R49" s="25">
        <v>50</v>
      </c>
      <c r="S49" s="25">
        <v>2</v>
      </c>
      <c r="T49" s="25">
        <v>2</v>
      </c>
      <c r="U49" s="25" t="s">
        <v>195</v>
      </c>
      <c r="V49" s="25">
        <v>180</v>
      </c>
      <c r="W49" s="25" t="s">
        <v>196</v>
      </c>
      <c r="X49" s="25"/>
      <c r="Y49" s="25">
        <v>0</v>
      </c>
      <c r="Z49" s="25">
        <v>101</v>
      </c>
      <c r="AA49" s="33" t="s">
        <v>197</v>
      </c>
      <c r="AB49" s="25">
        <v>1</v>
      </c>
      <c r="AC49" s="33" t="s">
        <v>263</v>
      </c>
      <c r="AD49" s="33" t="s">
        <v>264</v>
      </c>
    </row>
    <row r="50" spans="1:30">
      <c r="A50" s="26">
        <v>30005</v>
      </c>
      <c r="B50" s="3" t="s">
        <v>265</v>
      </c>
      <c r="C50" s="25">
        <v>1</v>
      </c>
      <c r="D50" s="25">
        <v>450</v>
      </c>
      <c r="E50" s="25">
        <v>5</v>
      </c>
      <c r="F50" s="25">
        <v>15</v>
      </c>
      <c r="G50" s="25">
        <v>50</v>
      </c>
      <c r="H50" s="25">
        <v>20</v>
      </c>
      <c r="I50" s="25">
        <v>100</v>
      </c>
      <c r="J50" s="25">
        <v>50</v>
      </c>
      <c r="K50" s="25">
        <v>150</v>
      </c>
      <c r="L50" s="25">
        <v>0</v>
      </c>
      <c r="M50" s="25">
        <v>100</v>
      </c>
      <c r="N50" s="25">
        <v>100</v>
      </c>
      <c r="O50" s="25">
        <v>10</v>
      </c>
      <c r="P50" s="25">
        <v>200</v>
      </c>
      <c r="Q50" s="25"/>
      <c r="R50" s="25">
        <v>50</v>
      </c>
      <c r="S50" s="25">
        <v>2</v>
      </c>
      <c r="T50" s="25">
        <v>2</v>
      </c>
      <c r="U50" s="25" t="s">
        <v>201</v>
      </c>
      <c r="V50" s="25">
        <v>160</v>
      </c>
      <c r="W50" s="25" t="s">
        <v>202</v>
      </c>
      <c r="X50" s="25"/>
      <c r="Y50" s="25">
        <v>0</v>
      </c>
      <c r="Z50" s="25">
        <v>103</v>
      </c>
      <c r="AA50" s="33" t="s">
        <v>203</v>
      </c>
      <c r="AB50" s="25">
        <v>1</v>
      </c>
      <c r="AC50" s="33" t="s">
        <v>266</v>
      </c>
      <c r="AD50" s="33" t="s">
        <v>267</v>
      </c>
    </row>
    <row r="51" spans="1:30">
      <c r="A51" s="26">
        <v>30006</v>
      </c>
      <c r="B51" s="3" t="s">
        <v>268</v>
      </c>
      <c r="C51" s="25">
        <v>1</v>
      </c>
      <c r="D51" s="25">
        <v>450</v>
      </c>
      <c r="E51" s="25">
        <v>5</v>
      </c>
      <c r="F51" s="25">
        <v>15</v>
      </c>
      <c r="G51" s="25">
        <v>60</v>
      </c>
      <c r="H51" s="25">
        <v>20</v>
      </c>
      <c r="I51" s="25">
        <v>100</v>
      </c>
      <c r="J51" s="25">
        <v>50</v>
      </c>
      <c r="K51" s="25">
        <v>150</v>
      </c>
      <c r="L51" s="25">
        <v>0</v>
      </c>
      <c r="M51" s="25">
        <v>100</v>
      </c>
      <c r="N51" s="25">
        <v>100</v>
      </c>
      <c r="O51" s="25">
        <v>10</v>
      </c>
      <c r="P51" s="25">
        <v>200</v>
      </c>
      <c r="Q51" s="25"/>
      <c r="R51" s="25">
        <v>50</v>
      </c>
      <c r="S51" s="25">
        <v>2</v>
      </c>
      <c r="T51" s="25">
        <v>2</v>
      </c>
      <c r="U51" s="25" t="s">
        <v>207</v>
      </c>
      <c r="V51" s="25">
        <v>180</v>
      </c>
      <c r="W51" s="25" t="s">
        <v>208</v>
      </c>
      <c r="X51" s="25"/>
      <c r="Y51" s="25">
        <v>0</v>
      </c>
      <c r="Z51" s="25">
        <v>101</v>
      </c>
      <c r="AA51" s="33" t="s">
        <v>209</v>
      </c>
      <c r="AB51" s="25">
        <v>1</v>
      </c>
      <c r="AC51" s="33" t="s">
        <v>269</v>
      </c>
      <c r="AD51" s="33" t="s">
        <v>270</v>
      </c>
    </row>
    <row r="52" spans="1:30">
      <c r="A52" s="26">
        <v>30007</v>
      </c>
      <c r="B52" s="3" t="s">
        <v>271</v>
      </c>
      <c r="C52" s="25">
        <v>1</v>
      </c>
      <c r="D52" s="25">
        <v>450</v>
      </c>
      <c r="E52" s="25">
        <v>5</v>
      </c>
      <c r="F52" s="25">
        <v>15</v>
      </c>
      <c r="G52" s="25">
        <v>60</v>
      </c>
      <c r="H52" s="25">
        <v>20</v>
      </c>
      <c r="I52" s="25">
        <v>100</v>
      </c>
      <c r="J52" s="25">
        <v>50</v>
      </c>
      <c r="K52" s="25">
        <v>150</v>
      </c>
      <c r="L52" s="25">
        <v>0</v>
      </c>
      <c r="M52" s="25">
        <v>100</v>
      </c>
      <c r="N52" s="25">
        <v>100</v>
      </c>
      <c r="O52" s="25">
        <v>10</v>
      </c>
      <c r="P52" s="25">
        <v>200</v>
      </c>
      <c r="Q52" s="25"/>
      <c r="R52" s="25">
        <v>50</v>
      </c>
      <c r="S52" s="25">
        <v>2</v>
      </c>
      <c r="T52" s="25">
        <v>2</v>
      </c>
      <c r="U52" s="25" t="s">
        <v>212</v>
      </c>
      <c r="V52" s="25">
        <v>200</v>
      </c>
      <c r="W52" s="25" t="s">
        <v>213</v>
      </c>
      <c r="X52" s="25"/>
      <c r="Y52" s="25">
        <v>0</v>
      </c>
      <c r="Z52" s="25">
        <v>101</v>
      </c>
      <c r="AA52" s="33" t="s">
        <v>214</v>
      </c>
      <c r="AB52" s="25">
        <v>1</v>
      </c>
      <c r="AC52" s="33" t="s">
        <v>272</v>
      </c>
      <c r="AD52" s="33" t="s">
        <v>273</v>
      </c>
    </row>
    <row r="53" spans="1:30">
      <c r="A53" s="26">
        <v>30008</v>
      </c>
      <c r="B53" s="3" t="s">
        <v>274</v>
      </c>
      <c r="C53" s="25">
        <v>1</v>
      </c>
      <c r="D53" s="25">
        <v>450</v>
      </c>
      <c r="E53" s="25">
        <v>5</v>
      </c>
      <c r="F53" s="25">
        <v>15</v>
      </c>
      <c r="G53" s="25">
        <v>60</v>
      </c>
      <c r="H53" s="25">
        <v>20</v>
      </c>
      <c r="I53" s="25">
        <v>100</v>
      </c>
      <c r="J53" s="25">
        <v>50</v>
      </c>
      <c r="K53" s="25">
        <v>150</v>
      </c>
      <c r="L53" s="25">
        <v>0</v>
      </c>
      <c r="M53" s="25">
        <v>100</v>
      </c>
      <c r="N53" s="25">
        <v>100</v>
      </c>
      <c r="O53" s="25">
        <v>10</v>
      </c>
      <c r="P53" s="25">
        <v>200</v>
      </c>
      <c r="Q53" s="25"/>
      <c r="R53" s="25">
        <v>50</v>
      </c>
      <c r="S53" s="25">
        <v>2</v>
      </c>
      <c r="T53" s="25">
        <v>2</v>
      </c>
      <c r="U53" s="25" t="s">
        <v>218</v>
      </c>
      <c r="V53" s="25">
        <v>190</v>
      </c>
      <c r="W53" s="25" t="s">
        <v>219</v>
      </c>
      <c r="X53" s="25"/>
      <c r="Y53" s="25">
        <v>0</v>
      </c>
      <c r="Z53" s="25">
        <v>101</v>
      </c>
      <c r="AA53" s="33" t="s">
        <v>220</v>
      </c>
      <c r="AB53" s="25">
        <v>1</v>
      </c>
      <c r="AC53" s="33" t="s">
        <v>275</v>
      </c>
      <c r="AD53" s="33" t="s">
        <v>276</v>
      </c>
    </row>
    <row r="54" spans="1:30">
      <c r="A54" s="26">
        <v>30009</v>
      </c>
      <c r="B54" s="3" t="s">
        <v>277</v>
      </c>
      <c r="C54" s="25">
        <v>1</v>
      </c>
      <c r="D54" s="25">
        <v>450</v>
      </c>
      <c r="E54" s="25">
        <v>5</v>
      </c>
      <c r="F54" s="25">
        <v>15</v>
      </c>
      <c r="G54" s="25">
        <v>60</v>
      </c>
      <c r="H54" s="25">
        <v>20</v>
      </c>
      <c r="I54" s="25">
        <v>100</v>
      </c>
      <c r="J54" s="25">
        <v>50</v>
      </c>
      <c r="K54" s="25">
        <v>150</v>
      </c>
      <c r="L54" s="25">
        <v>0</v>
      </c>
      <c r="M54" s="25">
        <v>100</v>
      </c>
      <c r="N54" s="25">
        <v>100</v>
      </c>
      <c r="O54" s="25">
        <v>10</v>
      </c>
      <c r="P54" s="25">
        <v>200</v>
      </c>
      <c r="Q54" s="25"/>
      <c r="R54" s="25">
        <v>50</v>
      </c>
      <c r="S54" s="25">
        <v>2</v>
      </c>
      <c r="T54" s="25">
        <v>2</v>
      </c>
      <c r="U54" s="25" t="s">
        <v>224</v>
      </c>
      <c r="V54" s="25">
        <v>170</v>
      </c>
      <c r="W54" s="25" t="s">
        <v>225</v>
      </c>
      <c r="X54" s="25"/>
      <c r="Y54" s="25">
        <v>0</v>
      </c>
      <c r="Z54" s="25">
        <v>101</v>
      </c>
      <c r="AA54" s="33" t="s">
        <v>226</v>
      </c>
      <c r="AB54" s="25">
        <v>1</v>
      </c>
      <c r="AC54" s="33" t="s">
        <v>278</v>
      </c>
      <c r="AD54" s="33" t="s">
        <v>279</v>
      </c>
    </row>
    <row r="55" spans="1:30">
      <c r="A55" s="26">
        <v>30010</v>
      </c>
      <c r="B55" s="3" t="s">
        <v>280</v>
      </c>
      <c r="C55" s="25">
        <v>1</v>
      </c>
      <c r="D55" s="25">
        <v>450</v>
      </c>
      <c r="E55" s="25">
        <v>5</v>
      </c>
      <c r="F55" s="25">
        <v>15</v>
      </c>
      <c r="G55" s="25">
        <v>50</v>
      </c>
      <c r="H55" s="25">
        <v>20</v>
      </c>
      <c r="I55" s="25">
        <v>100</v>
      </c>
      <c r="J55" s="25">
        <v>50</v>
      </c>
      <c r="K55" s="25">
        <v>150</v>
      </c>
      <c r="L55" s="25">
        <v>0</v>
      </c>
      <c r="M55" s="25">
        <v>100</v>
      </c>
      <c r="N55" s="25">
        <v>100</v>
      </c>
      <c r="O55" s="25">
        <v>10</v>
      </c>
      <c r="P55" s="25">
        <v>200</v>
      </c>
      <c r="Q55" s="25"/>
      <c r="R55" s="25">
        <v>50</v>
      </c>
      <c r="S55" s="25">
        <v>2</v>
      </c>
      <c r="T55" s="25">
        <v>2</v>
      </c>
      <c r="U55" s="25" t="s">
        <v>230</v>
      </c>
      <c r="V55" s="25">
        <v>180</v>
      </c>
      <c r="W55" s="25" t="s">
        <v>231</v>
      </c>
      <c r="X55" s="25"/>
      <c r="Y55" s="25">
        <v>0</v>
      </c>
      <c r="Z55" s="25">
        <v>102</v>
      </c>
      <c r="AA55" s="33" t="s">
        <v>232</v>
      </c>
      <c r="AB55" s="25">
        <v>1</v>
      </c>
      <c r="AC55" s="33" t="s">
        <v>281</v>
      </c>
      <c r="AD55" s="33" t="s">
        <v>282</v>
      </c>
    </row>
    <row r="56" spans="1:30">
      <c r="A56" s="26">
        <v>30011</v>
      </c>
      <c r="B56" s="3" t="s">
        <v>283</v>
      </c>
      <c r="C56" s="25">
        <v>1</v>
      </c>
      <c r="D56" s="25">
        <v>450</v>
      </c>
      <c r="E56" s="25">
        <v>5</v>
      </c>
      <c r="F56" s="25">
        <v>15</v>
      </c>
      <c r="G56" s="25">
        <v>60</v>
      </c>
      <c r="H56" s="25">
        <v>20</v>
      </c>
      <c r="I56" s="25">
        <v>100</v>
      </c>
      <c r="J56" s="25">
        <v>50</v>
      </c>
      <c r="K56" s="25">
        <v>150</v>
      </c>
      <c r="L56" s="25">
        <v>0</v>
      </c>
      <c r="M56" s="25">
        <v>100</v>
      </c>
      <c r="N56" s="25">
        <v>100</v>
      </c>
      <c r="O56" s="25">
        <v>10</v>
      </c>
      <c r="P56" s="25">
        <v>200</v>
      </c>
      <c r="Q56" s="25"/>
      <c r="R56" s="25">
        <v>50</v>
      </c>
      <c r="S56" s="25">
        <v>2</v>
      </c>
      <c r="T56" s="25">
        <v>-1</v>
      </c>
      <c r="U56" s="25" t="s">
        <v>236</v>
      </c>
      <c r="V56" s="25">
        <v>80</v>
      </c>
      <c r="W56" s="25"/>
      <c r="X56" s="25"/>
      <c r="Y56" s="25">
        <v>0</v>
      </c>
      <c r="Z56" s="25">
        <v>101</v>
      </c>
      <c r="AA56" s="33"/>
      <c r="AB56" s="25">
        <v>1</v>
      </c>
      <c r="AC56" s="34" t="s">
        <v>284</v>
      </c>
      <c r="AD56" s="33"/>
    </row>
    <row r="57" spans="1:30">
      <c r="A57" s="26">
        <v>30012</v>
      </c>
      <c r="B57" s="8" t="s">
        <v>285</v>
      </c>
      <c r="C57" s="25">
        <v>1</v>
      </c>
      <c r="D57" s="25">
        <v>450</v>
      </c>
      <c r="E57" s="25">
        <v>5</v>
      </c>
      <c r="F57" s="25">
        <v>15</v>
      </c>
      <c r="G57" s="25">
        <v>60</v>
      </c>
      <c r="H57" s="25">
        <v>20</v>
      </c>
      <c r="I57" s="25">
        <v>100</v>
      </c>
      <c r="J57" s="25">
        <v>50</v>
      </c>
      <c r="K57" s="25">
        <v>150</v>
      </c>
      <c r="L57" s="25">
        <v>0</v>
      </c>
      <c r="M57" s="25">
        <v>100</v>
      </c>
      <c r="N57" s="25">
        <v>100</v>
      </c>
      <c r="O57" s="25">
        <v>10</v>
      </c>
      <c r="P57" s="25">
        <v>200</v>
      </c>
      <c r="Q57" s="25"/>
      <c r="R57" s="25">
        <v>50</v>
      </c>
      <c r="S57" s="25">
        <v>2</v>
      </c>
      <c r="T57" s="25">
        <v>-1</v>
      </c>
      <c r="U57" s="8" t="s">
        <v>236</v>
      </c>
      <c r="V57" s="25">
        <v>80</v>
      </c>
      <c r="W57" s="25"/>
      <c r="X57" s="25"/>
      <c r="Y57" s="25">
        <v>0</v>
      </c>
      <c r="Z57" s="25">
        <v>101</v>
      </c>
      <c r="AA57" s="33" t="s">
        <v>239</v>
      </c>
      <c r="AB57" s="25">
        <v>1</v>
      </c>
      <c r="AC57" s="33" t="s">
        <v>286</v>
      </c>
      <c r="AD57" s="33" t="s">
        <v>287</v>
      </c>
    </row>
    <row r="58" spans="1:30">
      <c r="A58" s="26">
        <v>30013</v>
      </c>
      <c r="B58" s="8" t="s">
        <v>288</v>
      </c>
      <c r="C58" s="25">
        <v>1</v>
      </c>
      <c r="D58" s="25">
        <v>450</v>
      </c>
      <c r="E58" s="25">
        <v>5</v>
      </c>
      <c r="F58" s="25">
        <v>15</v>
      </c>
      <c r="G58" s="25">
        <v>40</v>
      </c>
      <c r="H58" s="25">
        <v>20</v>
      </c>
      <c r="I58" s="25">
        <v>100</v>
      </c>
      <c r="J58" s="25">
        <v>50</v>
      </c>
      <c r="K58" s="25">
        <v>150</v>
      </c>
      <c r="L58" s="25">
        <v>0</v>
      </c>
      <c r="M58" s="25">
        <v>100</v>
      </c>
      <c r="N58" s="25">
        <v>100</v>
      </c>
      <c r="O58" s="25">
        <v>10</v>
      </c>
      <c r="P58" s="25">
        <v>200</v>
      </c>
      <c r="Q58" s="25"/>
      <c r="R58" s="25">
        <v>20</v>
      </c>
      <c r="S58" s="25">
        <v>2</v>
      </c>
      <c r="T58" s="25">
        <v>-1</v>
      </c>
      <c r="U58" s="8" t="s">
        <v>236</v>
      </c>
      <c r="V58" s="25">
        <v>80</v>
      </c>
      <c r="W58" s="25"/>
      <c r="X58" s="25"/>
      <c r="Y58" s="25">
        <v>0</v>
      </c>
      <c r="Z58" s="25">
        <v>101</v>
      </c>
      <c r="AA58" s="33" t="s">
        <v>242</v>
      </c>
      <c r="AB58" s="25">
        <v>1</v>
      </c>
      <c r="AC58" s="33" t="s">
        <v>289</v>
      </c>
      <c r="AD58" s="33" t="s">
        <v>290</v>
      </c>
    </row>
    <row r="59" spans="1:30">
      <c r="A59" s="26">
        <v>30014</v>
      </c>
      <c r="B59" s="8" t="s">
        <v>291</v>
      </c>
      <c r="C59" s="25">
        <v>1</v>
      </c>
      <c r="D59" s="25">
        <v>450</v>
      </c>
      <c r="E59" s="25">
        <v>5</v>
      </c>
      <c r="F59" s="25">
        <v>15</v>
      </c>
      <c r="G59" s="25">
        <v>50</v>
      </c>
      <c r="H59" s="25">
        <v>20</v>
      </c>
      <c r="I59" s="25">
        <v>100</v>
      </c>
      <c r="J59" s="25">
        <v>50</v>
      </c>
      <c r="K59" s="25">
        <v>150</v>
      </c>
      <c r="L59" s="25">
        <v>0</v>
      </c>
      <c r="M59" s="25">
        <v>100</v>
      </c>
      <c r="N59" s="25">
        <v>100</v>
      </c>
      <c r="O59" s="25">
        <v>10</v>
      </c>
      <c r="P59" s="25">
        <v>200</v>
      </c>
      <c r="Q59" s="25"/>
      <c r="R59" s="25">
        <v>50</v>
      </c>
      <c r="S59" s="25">
        <v>2</v>
      </c>
      <c r="T59" s="25">
        <v>-1</v>
      </c>
      <c r="U59" s="8" t="s">
        <v>230</v>
      </c>
      <c r="V59" s="25">
        <v>180</v>
      </c>
      <c r="W59" s="25" t="s">
        <v>231</v>
      </c>
      <c r="X59" s="25"/>
      <c r="Y59" s="25">
        <v>0</v>
      </c>
      <c r="Z59" s="25">
        <v>102</v>
      </c>
      <c r="AA59" s="33" t="s">
        <v>245</v>
      </c>
      <c r="AB59" s="25">
        <v>1</v>
      </c>
      <c r="AC59" s="33" t="s">
        <v>292</v>
      </c>
      <c r="AD59" s="33" t="s">
        <v>293</v>
      </c>
    </row>
    <row r="60" spans="1:30">
      <c r="A60" s="26">
        <v>30015</v>
      </c>
      <c r="B60" s="8" t="s">
        <v>294</v>
      </c>
      <c r="C60" s="25">
        <v>1</v>
      </c>
      <c r="D60" s="25">
        <v>350</v>
      </c>
      <c r="E60" s="25">
        <v>2</v>
      </c>
      <c r="F60" s="25">
        <v>15</v>
      </c>
      <c r="G60" s="25">
        <v>100</v>
      </c>
      <c r="H60" s="25">
        <v>20</v>
      </c>
      <c r="I60" s="25">
        <v>100</v>
      </c>
      <c r="J60" s="25">
        <v>50</v>
      </c>
      <c r="K60" s="25">
        <v>150</v>
      </c>
      <c r="L60" s="25">
        <v>0</v>
      </c>
      <c r="M60" s="25">
        <v>100</v>
      </c>
      <c r="N60" s="25">
        <v>100</v>
      </c>
      <c r="O60" s="25">
        <v>10</v>
      </c>
      <c r="P60" s="25">
        <v>200</v>
      </c>
      <c r="Q60" s="25"/>
      <c r="R60" s="25">
        <v>50</v>
      </c>
      <c r="S60" s="25">
        <v>2</v>
      </c>
      <c r="T60" s="25">
        <v>-1</v>
      </c>
      <c r="U60" s="8" t="s">
        <v>236</v>
      </c>
      <c r="V60" s="25">
        <v>80</v>
      </c>
      <c r="W60" s="25"/>
      <c r="X60" s="25"/>
      <c r="Y60" s="25">
        <v>0</v>
      </c>
      <c r="Z60" s="25">
        <v>101</v>
      </c>
      <c r="AA60" s="33" t="s">
        <v>248</v>
      </c>
      <c r="AB60" s="25">
        <v>1</v>
      </c>
      <c r="AC60" s="33" t="s">
        <v>295</v>
      </c>
      <c r="AD60" s="33" t="s">
        <v>296</v>
      </c>
    </row>
    <row r="61" spans="1:30">
      <c r="A61" s="26">
        <v>30016</v>
      </c>
      <c r="B61" s="8" t="s">
        <v>297</v>
      </c>
      <c r="C61" s="25">
        <v>1</v>
      </c>
      <c r="D61" s="25">
        <v>450</v>
      </c>
      <c r="E61" s="25">
        <v>5</v>
      </c>
      <c r="F61" s="25">
        <v>15</v>
      </c>
      <c r="G61" s="25">
        <v>60</v>
      </c>
      <c r="H61" s="25">
        <v>20</v>
      </c>
      <c r="I61" s="25">
        <v>100</v>
      </c>
      <c r="J61" s="25">
        <v>50</v>
      </c>
      <c r="K61" s="25">
        <v>150</v>
      </c>
      <c r="L61" s="25">
        <v>0</v>
      </c>
      <c r="M61" s="25">
        <v>100</v>
      </c>
      <c r="N61" s="25">
        <v>100</v>
      </c>
      <c r="O61" s="25">
        <v>10</v>
      </c>
      <c r="P61" s="25">
        <v>200</v>
      </c>
      <c r="Q61" s="25"/>
      <c r="R61" s="25">
        <v>50</v>
      </c>
      <c r="S61" s="25">
        <v>2</v>
      </c>
      <c r="T61" s="25">
        <v>-1</v>
      </c>
      <c r="U61" s="8" t="s">
        <v>236</v>
      </c>
      <c r="V61" s="25">
        <v>80</v>
      </c>
      <c r="W61" s="25"/>
      <c r="X61" s="25"/>
      <c r="Y61" s="25">
        <v>0</v>
      </c>
      <c r="Z61" s="25">
        <v>101</v>
      </c>
      <c r="AA61" s="33">
        <v>30047</v>
      </c>
      <c r="AB61" s="25">
        <v>1</v>
      </c>
      <c r="AC61" s="33" t="s">
        <v>298</v>
      </c>
      <c r="AD61" s="33" t="s">
        <v>299</v>
      </c>
    </row>
    <row r="62" spans="1:30">
      <c r="A62" s="26">
        <v>30017</v>
      </c>
      <c r="B62" s="8" t="s">
        <v>300</v>
      </c>
      <c r="C62" s="25">
        <v>1</v>
      </c>
      <c r="D62" s="25">
        <v>450</v>
      </c>
      <c r="E62" s="25">
        <v>5</v>
      </c>
      <c r="F62" s="25">
        <v>15</v>
      </c>
      <c r="G62" s="25">
        <v>60</v>
      </c>
      <c r="H62" s="25">
        <v>20</v>
      </c>
      <c r="I62" s="25">
        <v>100</v>
      </c>
      <c r="J62" s="25">
        <v>50</v>
      </c>
      <c r="K62" s="25">
        <v>150</v>
      </c>
      <c r="L62" s="25">
        <v>0</v>
      </c>
      <c r="M62" s="25">
        <v>100</v>
      </c>
      <c r="N62" s="25">
        <v>100</v>
      </c>
      <c r="O62" s="25">
        <v>10</v>
      </c>
      <c r="P62" s="25">
        <v>200</v>
      </c>
      <c r="Q62" s="25"/>
      <c r="R62" s="25">
        <v>50</v>
      </c>
      <c r="S62" s="25">
        <v>2</v>
      </c>
      <c r="T62" s="25">
        <v>-1</v>
      </c>
      <c r="U62" s="8" t="s">
        <v>236</v>
      </c>
      <c r="V62" s="25">
        <v>80</v>
      </c>
      <c r="W62" s="25"/>
      <c r="X62" s="25"/>
      <c r="Y62" s="25">
        <v>0</v>
      </c>
      <c r="Z62" s="25">
        <v>101</v>
      </c>
      <c r="AA62" s="33" t="s">
        <v>239</v>
      </c>
      <c r="AB62" s="25">
        <v>1</v>
      </c>
      <c r="AC62" s="33" t="s">
        <v>301</v>
      </c>
      <c r="AD62" s="33" t="s">
        <v>302</v>
      </c>
    </row>
    <row r="63" spans="1:30">
      <c r="A63" s="26">
        <v>30018</v>
      </c>
      <c r="B63" s="25" t="s">
        <v>303</v>
      </c>
      <c r="C63" s="25">
        <v>1</v>
      </c>
      <c r="D63" s="25">
        <v>450</v>
      </c>
      <c r="E63" s="25">
        <v>5</v>
      </c>
      <c r="F63" s="25">
        <v>15</v>
      </c>
      <c r="G63" s="25">
        <v>30</v>
      </c>
      <c r="H63" s="25">
        <v>20</v>
      </c>
      <c r="I63" s="25">
        <v>100</v>
      </c>
      <c r="J63" s="25">
        <v>50</v>
      </c>
      <c r="K63" s="25">
        <v>150</v>
      </c>
      <c r="L63" s="25">
        <v>0</v>
      </c>
      <c r="M63" s="25">
        <v>100</v>
      </c>
      <c r="N63" s="25">
        <v>100</v>
      </c>
      <c r="O63" s="25">
        <v>10</v>
      </c>
      <c r="P63" s="25">
        <v>200</v>
      </c>
      <c r="Q63" s="25"/>
      <c r="R63" s="25">
        <v>50</v>
      </c>
      <c r="S63" s="25">
        <v>2</v>
      </c>
      <c r="T63" s="25">
        <v>-1</v>
      </c>
      <c r="U63" s="25" t="s">
        <v>304</v>
      </c>
      <c r="V63" s="25"/>
      <c r="W63" s="25" t="s">
        <v>305</v>
      </c>
      <c r="X63" s="25"/>
      <c r="Y63" s="25">
        <v>0</v>
      </c>
      <c r="Z63" s="25">
        <v>101</v>
      </c>
      <c r="AA63" s="33" t="s">
        <v>306</v>
      </c>
      <c r="AB63" s="25">
        <v>1</v>
      </c>
      <c r="AC63" s="34" t="s">
        <v>307</v>
      </c>
      <c r="AD63" s="33"/>
    </row>
    <row r="64" spans="1:30">
      <c r="A64" s="26">
        <v>30019</v>
      </c>
      <c r="B64" s="27" t="s">
        <v>308</v>
      </c>
      <c r="C64" s="25">
        <v>1</v>
      </c>
      <c r="D64" s="25">
        <v>450</v>
      </c>
      <c r="E64" s="25">
        <v>5</v>
      </c>
      <c r="F64" s="25">
        <v>15</v>
      </c>
      <c r="G64" s="25">
        <v>30</v>
      </c>
      <c r="H64" s="25">
        <v>20</v>
      </c>
      <c r="I64" s="25">
        <v>100</v>
      </c>
      <c r="J64" s="25">
        <v>50</v>
      </c>
      <c r="K64" s="25">
        <v>150</v>
      </c>
      <c r="L64" s="25">
        <v>0</v>
      </c>
      <c r="M64" s="25">
        <v>100</v>
      </c>
      <c r="N64" s="25">
        <v>100</v>
      </c>
      <c r="O64" s="25">
        <v>10</v>
      </c>
      <c r="P64" s="25">
        <v>200</v>
      </c>
      <c r="Q64" s="25"/>
      <c r="R64" s="25">
        <v>50</v>
      </c>
      <c r="S64" s="25">
        <v>2</v>
      </c>
      <c r="T64" s="25">
        <v>-1</v>
      </c>
      <c r="U64" s="25" t="s">
        <v>309</v>
      </c>
      <c r="V64" s="25">
        <v>120</v>
      </c>
      <c r="W64" s="25" t="s">
        <v>310</v>
      </c>
      <c r="X64" s="25"/>
      <c r="Y64" s="25">
        <v>0</v>
      </c>
      <c r="Z64" s="25">
        <v>101</v>
      </c>
      <c r="AA64" s="25"/>
      <c r="AB64" s="25">
        <v>1</v>
      </c>
      <c r="AC64" s="34" t="s">
        <v>148</v>
      </c>
      <c r="AD64" s="25"/>
    </row>
  </sheetData>
  <dataValidations count="1">
    <dataValidation allowBlank="1" showInputMessage="1" showErrorMessage="1" sqref="B19 B20 B21 B22 B28 B1:B4 B5:B18 B23:B27 B29:B39 B40:B43 B44:B45 B46:B56 B57:B60 B61:B62 B63:B1048576"/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62"/>
  <sheetViews>
    <sheetView zoomScale="130" zoomScaleNormal="130" topLeftCell="A45" workbookViewId="0">
      <selection activeCell="A61" sqref="$A61:$XFD61"/>
    </sheetView>
  </sheetViews>
  <sheetFormatPr defaultColWidth="8.625" defaultRowHeight="14.25"/>
  <cols>
    <col min="1" max="1" width="7" customWidth="1"/>
    <col min="2" max="2" width="12.875" customWidth="1"/>
    <col min="4" max="4" width="12.875" customWidth="1"/>
    <col min="5" max="5" width="11.625" customWidth="1"/>
    <col min="6" max="6" width="8.25" customWidth="1"/>
  </cols>
  <sheetData>
    <row r="1" ht="16.5" spans="1:4">
      <c r="A1" s="1">
        <v>1</v>
      </c>
      <c r="B1" s="1" t="s">
        <v>311</v>
      </c>
      <c r="C1" s="2">
        <v>10001</v>
      </c>
      <c r="D1" s="2" t="s">
        <v>66</v>
      </c>
    </row>
    <row r="2" ht="16.5" spans="1:4">
      <c r="A2" s="1">
        <v>2</v>
      </c>
      <c r="B2" s="1" t="s">
        <v>87</v>
      </c>
      <c r="C2" s="2">
        <v>10002</v>
      </c>
      <c r="D2" s="2" t="s">
        <v>70</v>
      </c>
    </row>
    <row r="3" ht="16.5" spans="1:4">
      <c r="A3" s="1">
        <v>3</v>
      </c>
      <c r="B3" s="1" t="s">
        <v>312</v>
      </c>
      <c r="C3" s="2">
        <v>10003</v>
      </c>
      <c r="D3" s="2" t="s">
        <v>76</v>
      </c>
    </row>
    <row r="4" ht="16.5" spans="1:4">
      <c r="A4" s="1">
        <v>4</v>
      </c>
      <c r="B4" s="1" t="s">
        <v>313</v>
      </c>
      <c r="C4" s="2">
        <v>10005</v>
      </c>
      <c r="D4" s="2" t="s">
        <v>87</v>
      </c>
    </row>
    <row r="5" ht="16.5" spans="1:4">
      <c r="A5" s="1">
        <v>5</v>
      </c>
      <c r="B5" s="1" t="s">
        <v>314</v>
      </c>
      <c r="C5" s="2">
        <v>10004</v>
      </c>
      <c r="D5" s="2" t="s">
        <v>81</v>
      </c>
    </row>
    <row r="6" ht="16.5" spans="1:5">
      <c r="A6" s="1">
        <v>6</v>
      </c>
      <c r="B6" s="1" t="s">
        <v>315</v>
      </c>
      <c r="C6" s="2">
        <v>10011</v>
      </c>
      <c r="D6" s="2"/>
      <c r="E6" s="5" t="s">
        <v>316</v>
      </c>
    </row>
    <row r="7" ht="16.5" spans="1:5">
      <c r="A7" s="1">
        <v>7</v>
      </c>
      <c r="B7" s="1" t="s">
        <v>317</v>
      </c>
      <c r="C7" s="2">
        <v>10014</v>
      </c>
      <c r="D7" s="2"/>
      <c r="E7" s="5" t="s">
        <v>318</v>
      </c>
    </row>
    <row r="8" ht="16.5" spans="1:4">
      <c r="A8" s="1">
        <v>10</v>
      </c>
      <c r="B8" s="1" t="s">
        <v>319</v>
      </c>
      <c r="C8" s="3">
        <v>20001</v>
      </c>
      <c r="D8" s="3" t="s">
        <v>177</v>
      </c>
    </row>
    <row r="9" ht="16.5" spans="1:5">
      <c r="A9" s="1">
        <v>11</v>
      </c>
      <c r="B9" s="1" t="s">
        <v>320</v>
      </c>
      <c r="C9" s="3">
        <v>20002</v>
      </c>
      <c r="D9" s="3"/>
      <c r="E9" s="5" t="s">
        <v>321</v>
      </c>
    </row>
    <row r="10" ht="16.5" spans="1:5">
      <c r="A10" s="1">
        <v>12</v>
      </c>
      <c r="B10" s="1" t="s">
        <v>238</v>
      </c>
      <c r="C10" s="6">
        <v>20012</v>
      </c>
      <c r="D10" s="3"/>
      <c r="E10" s="5" t="s">
        <v>240</v>
      </c>
    </row>
    <row r="11" ht="16.5" spans="1:5">
      <c r="A11" s="1">
        <v>13</v>
      </c>
      <c r="B11" s="1" t="s">
        <v>241</v>
      </c>
      <c r="C11" s="6">
        <v>20013</v>
      </c>
      <c r="D11" s="3"/>
      <c r="E11" s="5" t="s">
        <v>243</v>
      </c>
    </row>
    <row r="12" ht="16.5" hidden="1" spans="1:5">
      <c r="A12" s="1">
        <v>14</v>
      </c>
      <c r="B12" s="1" t="s">
        <v>322</v>
      </c>
      <c r="C12" s="3">
        <v>20005</v>
      </c>
      <c r="D12" s="3"/>
      <c r="E12" s="5" t="s">
        <v>323</v>
      </c>
    </row>
    <row r="13" ht="16.5" hidden="1" spans="1:5">
      <c r="A13" s="1">
        <v>15</v>
      </c>
      <c r="B13" s="1" t="s">
        <v>324</v>
      </c>
      <c r="C13" s="3">
        <v>20008</v>
      </c>
      <c r="D13" s="3"/>
      <c r="E13" s="5" t="s">
        <v>325</v>
      </c>
    </row>
    <row r="14" ht="16.5" hidden="1" spans="1:5">
      <c r="A14" s="1">
        <v>18</v>
      </c>
      <c r="B14" s="7" t="s">
        <v>326</v>
      </c>
      <c r="C14" s="3">
        <v>10007</v>
      </c>
      <c r="D14" s="3"/>
      <c r="E14" s="5" t="s">
        <v>327</v>
      </c>
    </row>
    <row r="15" ht="16.5" hidden="1" spans="1:4">
      <c r="A15" s="1">
        <v>20</v>
      </c>
      <c r="B15" s="1" t="s">
        <v>328</v>
      </c>
      <c r="C15" s="2">
        <v>10006</v>
      </c>
      <c r="D15" s="2" t="s">
        <v>93</v>
      </c>
    </row>
    <row r="16" ht="16.5" hidden="1" spans="1:5">
      <c r="A16" s="1">
        <v>21</v>
      </c>
      <c r="B16" s="1" t="s">
        <v>169</v>
      </c>
      <c r="C16" s="8">
        <v>10022</v>
      </c>
      <c r="D16" s="2"/>
      <c r="E16" s="5" t="s">
        <v>171</v>
      </c>
    </row>
    <row r="17" ht="16.5" spans="1:5">
      <c r="A17" s="1">
        <v>24</v>
      </c>
      <c r="B17" s="1" t="s">
        <v>244</v>
      </c>
      <c r="C17" s="6">
        <v>20014</v>
      </c>
      <c r="D17" s="2"/>
      <c r="E17" s="5" t="s">
        <v>246</v>
      </c>
    </row>
    <row r="18" ht="16.5" hidden="1" spans="1:5">
      <c r="A18" s="1">
        <v>25</v>
      </c>
      <c r="B18" s="1" t="s">
        <v>172</v>
      </c>
      <c r="C18" s="8">
        <v>10023</v>
      </c>
      <c r="D18" s="2"/>
      <c r="E18" s="5" t="s">
        <v>174</v>
      </c>
    </row>
    <row r="19" ht="16.5" hidden="1" spans="1:5">
      <c r="A19" s="1">
        <v>30</v>
      </c>
      <c r="B19" s="1" t="s">
        <v>329</v>
      </c>
      <c r="C19" s="2">
        <v>20003</v>
      </c>
      <c r="D19" s="2"/>
      <c r="E19" s="5" t="s">
        <v>330</v>
      </c>
    </row>
    <row r="20" ht="16.5" spans="1:5">
      <c r="A20" s="1">
        <v>31</v>
      </c>
      <c r="B20" s="1" t="s">
        <v>247</v>
      </c>
      <c r="C20" s="6">
        <v>20015</v>
      </c>
      <c r="D20" s="2"/>
      <c r="E20" s="5" t="s">
        <v>249</v>
      </c>
    </row>
    <row r="21" ht="16.5" hidden="1" spans="1:4">
      <c r="A21" s="1">
        <v>32</v>
      </c>
      <c r="B21" s="1" t="s">
        <v>331</v>
      </c>
      <c r="C21" s="3">
        <v>20004</v>
      </c>
      <c r="D21" s="3" t="s">
        <v>194</v>
      </c>
    </row>
    <row r="22" ht="16.5" hidden="1" spans="1:5">
      <c r="A22" s="1">
        <v>38</v>
      </c>
      <c r="B22" s="1" t="s">
        <v>161</v>
      </c>
      <c r="C22" s="8">
        <v>10019</v>
      </c>
      <c r="D22" s="3"/>
      <c r="E22" s="5" t="s">
        <v>163</v>
      </c>
    </row>
    <row r="23" ht="16.5" hidden="1" spans="1:5">
      <c r="A23" s="1">
        <v>201</v>
      </c>
      <c r="B23" s="1" t="s">
        <v>165</v>
      </c>
      <c r="C23" s="8">
        <v>10020</v>
      </c>
      <c r="D23" s="3"/>
      <c r="E23" s="5" t="s">
        <v>166</v>
      </c>
    </row>
    <row r="24" ht="16.5" hidden="1" spans="1:5">
      <c r="A24" s="1">
        <v>202</v>
      </c>
      <c r="B24" s="1" t="s">
        <v>167</v>
      </c>
      <c r="C24" s="8">
        <v>10021</v>
      </c>
      <c r="D24" s="3"/>
      <c r="E24" s="5" t="s">
        <v>168</v>
      </c>
    </row>
    <row r="25" ht="16.5" hidden="1" spans="1:4">
      <c r="A25" s="1">
        <v>203</v>
      </c>
      <c r="B25" s="1" t="s">
        <v>332</v>
      </c>
      <c r="C25" s="2">
        <v>10003</v>
      </c>
      <c r="D25" s="2" t="s">
        <v>76</v>
      </c>
    </row>
    <row r="26" ht="16.5" spans="1:5">
      <c r="A26" s="1">
        <v>208</v>
      </c>
      <c r="B26" s="1" t="s">
        <v>250</v>
      </c>
      <c r="C26" s="6">
        <v>20016</v>
      </c>
      <c r="D26" s="2"/>
      <c r="E26" s="5" t="s">
        <v>251</v>
      </c>
    </row>
    <row r="27" ht="16.5" spans="1:5">
      <c r="A27" s="1">
        <v>209</v>
      </c>
      <c r="B27" s="1" t="s">
        <v>252</v>
      </c>
      <c r="C27" s="6">
        <v>20017</v>
      </c>
      <c r="D27" s="2"/>
      <c r="E27" s="5" t="s">
        <v>253</v>
      </c>
    </row>
    <row r="28" ht="16.5" hidden="1" spans="1:5">
      <c r="A28" s="1">
        <v>211</v>
      </c>
      <c r="B28" s="1" t="s">
        <v>333</v>
      </c>
      <c r="C28" s="2">
        <v>10017</v>
      </c>
      <c r="D28" s="2" t="s">
        <v>152</v>
      </c>
      <c r="E28" s="5" t="s">
        <v>334</v>
      </c>
    </row>
    <row r="29" ht="16.5" hidden="1" spans="1:4">
      <c r="A29" s="1">
        <v>212</v>
      </c>
      <c r="B29" s="1" t="s">
        <v>335</v>
      </c>
      <c r="C29" s="2">
        <v>10018</v>
      </c>
      <c r="D29" s="2" t="s">
        <v>156</v>
      </c>
    </row>
    <row r="31" ht="12.95" customHeight="1"/>
    <row r="33" spans="1:12">
      <c r="A33" s="4" t="s">
        <v>336</v>
      </c>
      <c r="B33" s="9">
        <v>10001</v>
      </c>
      <c r="C33" s="9">
        <v>10002</v>
      </c>
      <c r="D33" s="10"/>
      <c r="E33" s="10"/>
      <c r="H33" s="1">
        <v>1</v>
      </c>
      <c r="I33" s="15">
        <v>1</v>
      </c>
      <c r="J33" s="15">
        <v>2</v>
      </c>
      <c r="K33" s="15"/>
      <c r="L33" s="15"/>
    </row>
    <row r="34" spans="1:12">
      <c r="A34" s="4" t="s">
        <v>337</v>
      </c>
      <c r="B34" s="11">
        <v>10017</v>
      </c>
      <c r="C34" s="9">
        <v>10002</v>
      </c>
      <c r="D34" s="10"/>
      <c r="E34" s="10"/>
      <c r="H34" s="1">
        <v>2</v>
      </c>
      <c r="I34" s="15">
        <v>211</v>
      </c>
      <c r="J34" s="15">
        <v>2</v>
      </c>
      <c r="K34" s="15"/>
      <c r="L34" s="15"/>
    </row>
    <row r="35" spans="1:12">
      <c r="A35" s="4" t="s">
        <v>338</v>
      </c>
      <c r="B35" s="9">
        <v>10001</v>
      </c>
      <c r="C35" s="9">
        <v>10018</v>
      </c>
      <c r="D35" s="9">
        <v>10003</v>
      </c>
      <c r="E35" s="10"/>
      <c r="H35" s="1">
        <v>3</v>
      </c>
      <c r="I35" s="15">
        <v>1</v>
      </c>
      <c r="J35" s="15">
        <v>212</v>
      </c>
      <c r="K35" s="15">
        <v>203</v>
      </c>
      <c r="L35" s="15"/>
    </row>
    <row r="36" spans="1:12">
      <c r="A36" s="4" t="s">
        <v>339</v>
      </c>
      <c r="B36" s="11">
        <v>10017</v>
      </c>
      <c r="C36" s="9">
        <v>10002</v>
      </c>
      <c r="D36" s="9">
        <v>10004</v>
      </c>
      <c r="E36" s="12">
        <v>20004</v>
      </c>
      <c r="H36" s="1">
        <v>4</v>
      </c>
      <c r="I36" s="15">
        <v>211</v>
      </c>
      <c r="J36" s="15">
        <v>2</v>
      </c>
      <c r="K36" s="15">
        <v>5</v>
      </c>
      <c r="L36" s="15">
        <v>10</v>
      </c>
    </row>
    <row r="37" spans="1:12">
      <c r="A37" s="4" t="s">
        <v>340</v>
      </c>
      <c r="B37" s="9">
        <v>10001</v>
      </c>
      <c r="C37" s="9">
        <v>10018</v>
      </c>
      <c r="D37" s="9">
        <v>10005</v>
      </c>
      <c r="E37" s="12">
        <v>20002</v>
      </c>
      <c r="H37" s="1">
        <v>5</v>
      </c>
      <c r="I37" s="15">
        <v>1</v>
      </c>
      <c r="J37" s="15">
        <v>212</v>
      </c>
      <c r="K37" s="15">
        <v>4</v>
      </c>
      <c r="L37" s="15">
        <v>209</v>
      </c>
    </row>
    <row r="38" spans="1:12">
      <c r="A38" s="4" t="s">
        <v>341</v>
      </c>
      <c r="B38" s="13">
        <v>10017</v>
      </c>
      <c r="C38" s="9">
        <v>10006</v>
      </c>
      <c r="D38" s="9">
        <v>10003</v>
      </c>
      <c r="E38" s="12">
        <v>20001</v>
      </c>
      <c r="H38" s="1">
        <v>6</v>
      </c>
      <c r="I38" s="15">
        <v>211</v>
      </c>
      <c r="J38" s="15">
        <v>20</v>
      </c>
      <c r="K38" s="15">
        <v>3</v>
      </c>
      <c r="L38" s="15">
        <v>10</v>
      </c>
    </row>
    <row r="39" spans="1:12">
      <c r="A39" s="4" t="s">
        <v>342</v>
      </c>
      <c r="B39" s="14">
        <f>VLOOKUP(I39,$A$1:$D$30,3,FALSE)</f>
        <v>10006</v>
      </c>
      <c r="C39" s="14">
        <f>VLOOKUP(J39,$A$1:$D$30,3,FALSE)</f>
        <v>10004</v>
      </c>
      <c r="D39" s="14">
        <f>VLOOKUP(K39,$A$1:$D$30,3,FALSE)</f>
        <v>10005</v>
      </c>
      <c r="E39" s="14">
        <f>VLOOKUP(L39,$A$1:$D$30,3,FALSE)</f>
        <v>20005</v>
      </c>
      <c r="H39" s="12">
        <v>7</v>
      </c>
      <c r="I39" s="15">
        <v>20</v>
      </c>
      <c r="J39" s="15">
        <v>5</v>
      </c>
      <c r="K39" s="15">
        <v>4</v>
      </c>
      <c r="L39" s="15">
        <v>14</v>
      </c>
    </row>
    <row r="40" spans="1:12">
      <c r="A40" s="4" t="s">
        <v>343</v>
      </c>
      <c r="B40" s="14">
        <f t="shared" ref="B40:B62" si="0">VLOOKUP(I40,$A$1:$D$30,3,FALSE)</f>
        <v>10001</v>
      </c>
      <c r="C40" s="14">
        <f t="shared" ref="C40:C62" si="1">VLOOKUP(J40,$A$1:$D$30,3,FALSE)</f>
        <v>10003</v>
      </c>
      <c r="D40" s="14">
        <f t="shared" ref="D40:D61" si="2">VLOOKUP(K40,$A$1:$D$30,3,FALSE)</f>
        <v>10004</v>
      </c>
      <c r="E40" s="14">
        <v>20008</v>
      </c>
      <c r="H40" s="12">
        <v>8</v>
      </c>
      <c r="I40" s="15">
        <v>1</v>
      </c>
      <c r="J40" s="15">
        <v>3</v>
      </c>
      <c r="K40" s="15">
        <v>5</v>
      </c>
      <c r="L40" s="15">
        <v>209</v>
      </c>
    </row>
    <row r="41" spans="1:12">
      <c r="A41" s="4" t="s">
        <v>344</v>
      </c>
      <c r="B41" s="14">
        <f t="shared" si="0"/>
        <v>10001</v>
      </c>
      <c r="C41" s="14">
        <f t="shared" si="1"/>
        <v>10002</v>
      </c>
      <c r="D41" s="14">
        <f t="shared" si="2"/>
        <v>10004</v>
      </c>
      <c r="E41" s="14">
        <f>VLOOKUP(L41,$A$1:$D$30,3,FALSE)</f>
        <v>20002</v>
      </c>
      <c r="H41" s="12">
        <v>9</v>
      </c>
      <c r="I41" s="15">
        <v>1</v>
      </c>
      <c r="J41" s="15">
        <v>2</v>
      </c>
      <c r="K41" s="15">
        <v>5</v>
      </c>
      <c r="L41" s="15">
        <v>11</v>
      </c>
    </row>
    <row r="42" spans="1:12">
      <c r="A42" s="4" t="s">
        <v>345</v>
      </c>
      <c r="B42" s="14">
        <f t="shared" si="0"/>
        <v>10006</v>
      </c>
      <c r="C42" s="14">
        <f t="shared" si="1"/>
        <v>10004</v>
      </c>
      <c r="D42" s="14">
        <f t="shared" si="2"/>
        <v>10005</v>
      </c>
      <c r="E42" s="14">
        <f>VLOOKUP(L42,$A$1:$D$30,3,FALSE)</f>
        <v>20005</v>
      </c>
      <c r="H42" s="12">
        <v>10</v>
      </c>
      <c r="I42" s="15">
        <v>20</v>
      </c>
      <c r="J42" s="15">
        <v>5</v>
      </c>
      <c r="K42" s="15">
        <v>4</v>
      </c>
      <c r="L42" s="15">
        <v>14</v>
      </c>
    </row>
    <row r="43" spans="1:12">
      <c r="A43" s="4" t="s">
        <v>346</v>
      </c>
      <c r="B43" s="14">
        <f t="shared" si="0"/>
        <v>10001</v>
      </c>
      <c r="C43" s="14">
        <f t="shared" si="1"/>
        <v>10003</v>
      </c>
      <c r="D43" s="14">
        <f t="shared" si="2"/>
        <v>10011</v>
      </c>
      <c r="E43" s="14">
        <f>VLOOKUP(L43,$A$1:$D$30,3,FALSE)</f>
        <v>20008</v>
      </c>
      <c r="H43" s="12">
        <v>11</v>
      </c>
      <c r="I43" s="15">
        <v>1</v>
      </c>
      <c r="J43" s="15">
        <v>3</v>
      </c>
      <c r="K43" s="15">
        <v>6</v>
      </c>
      <c r="L43" s="15">
        <v>15</v>
      </c>
    </row>
    <row r="44" spans="1:12">
      <c r="A44" s="4" t="s">
        <v>347</v>
      </c>
      <c r="B44" s="14">
        <f t="shared" si="0"/>
        <v>10017</v>
      </c>
      <c r="C44" s="14">
        <f t="shared" si="1"/>
        <v>10002</v>
      </c>
      <c r="D44" s="14">
        <v>10018</v>
      </c>
      <c r="E44" s="14">
        <f>VLOOKUP(L44,$A$1:$D$30,3,FALSE)</f>
        <v>20002</v>
      </c>
      <c r="H44" s="12">
        <v>12</v>
      </c>
      <c r="I44" s="15">
        <v>211</v>
      </c>
      <c r="J44" s="15">
        <v>2</v>
      </c>
      <c r="K44" s="15">
        <v>201</v>
      </c>
      <c r="L44" s="15">
        <v>11</v>
      </c>
    </row>
    <row r="45" spans="1:12">
      <c r="A45" s="4" t="s">
        <v>348</v>
      </c>
      <c r="B45" s="14">
        <f t="shared" si="0"/>
        <v>10006</v>
      </c>
      <c r="C45" s="14">
        <f t="shared" si="1"/>
        <v>10002</v>
      </c>
      <c r="D45" s="14">
        <f t="shared" si="2"/>
        <v>10011</v>
      </c>
      <c r="E45" s="14">
        <f>VLOOKUP(L45,$A$1:$D$30,3,FALSE)</f>
        <v>20003</v>
      </c>
      <c r="H45" s="12">
        <v>13</v>
      </c>
      <c r="I45" s="15">
        <v>20</v>
      </c>
      <c r="J45" s="15">
        <v>2</v>
      </c>
      <c r="K45" s="15">
        <v>6</v>
      </c>
      <c r="L45" s="15">
        <v>30</v>
      </c>
    </row>
    <row r="46" spans="1:12">
      <c r="A46" s="4" t="s">
        <v>349</v>
      </c>
      <c r="B46" s="14">
        <f t="shared" si="0"/>
        <v>10001</v>
      </c>
      <c r="C46" s="14">
        <f t="shared" si="1"/>
        <v>10004</v>
      </c>
      <c r="D46" s="14">
        <f t="shared" si="2"/>
        <v>10007</v>
      </c>
      <c r="E46" s="14">
        <v>20002</v>
      </c>
      <c r="H46" s="12">
        <v>14</v>
      </c>
      <c r="I46" s="15">
        <v>1</v>
      </c>
      <c r="J46" s="15">
        <v>5</v>
      </c>
      <c r="K46" s="15">
        <v>18</v>
      </c>
      <c r="L46" s="15">
        <v>208</v>
      </c>
    </row>
    <row r="47" spans="1:12">
      <c r="A47" s="4" t="s">
        <v>350</v>
      </c>
      <c r="B47" s="14">
        <f t="shared" si="0"/>
        <v>10017</v>
      </c>
      <c r="C47" s="14">
        <f t="shared" si="1"/>
        <v>10005</v>
      </c>
      <c r="D47" s="14">
        <f t="shared" si="2"/>
        <v>10011</v>
      </c>
      <c r="E47" s="14">
        <v>20004</v>
      </c>
      <c r="H47" s="12">
        <v>15</v>
      </c>
      <c r="I47" s="15">
        <v>211</v>
      </c>
      <c r="J47" s="15">
        <v>4</v>
      </c>
      <c r="K47" s="15">
        <v>6</v>
      </c>
      <c r="L47" s="15">
        <v>13</v>
      </c>
    </row>
    <row r="48" spans="1:12">
      <c r="A48" s="4" t="s">
        <v>351</v>
      </c>
      <c r="B48" s="14">
        <f t="shared" si="0"/>
        <v>10001</v>
      </c>
      <c r="C48" s="14">
        <f t="shared" si="1"/>
        <v>10004</v>
      </c>
      <c r="D48" s="14">
        <f t="shared" si="2"/>
        <v>10007</v>
      </c>
      <c r="E48" s="14">
        <f>VLOOKUP(L48,$A$1:$D$30,3,FALSE)</f>
        <v>20001</v>
      </c>
      <c r="H48" s="12">
        <v>16</v>
      </c>
      <c r="I48" s="15">
        <v>1</v>
      </c>
      <c r="J48" s="15">
        <v>5</v>
      </c>
      <c r="K48" s="15">
        <v>18</v>
      </c>
      <c r="L48" s="15">
        <v>10</v>
      </c>
    </row>
    <row r="49" spans="1:13">
      <c r="A49" s="4" t="s">
        <v>352</v>
      </c>
      <c r="B49" s="14">
        <v>10017</v>
      </c>
      <c r="C49" s="14">
        <f t="shared" si="1"/>
        <v>10002</v>
      </c>
      <c r="D49" s="14">
        <f t="shared" si="2"/>
        <v>10011</v>
      </c>
      <c r="E49" s="14">
        <f>VLOOKUP(L49,$A$1:$D$30,3,FALSE)</f>
        <v>20002</v>
      </c>
      <c r="H49" s="12">
        <v>17</v>
      </c>
      <c r="I49" s="15">
        <v>21</v>
      </c>
      <c r="J49" s="15">
        <v>2</v>
      </c>
      <c r="K49" s="15">
        <v>6</v>
      </c>
      <c r="L49" s="15">
        <v>11</v>
      </c>
      <c r="M49" s="15">
        <v>15</v>
      </c>
    </row>
    <row r="50" spans="1:13">
      <c r="A50" s="4" t="s">
        <v>353</v>
      </c>
      <c r="B50" s="14">
        <f t="shared" si="0"/>
        <v>10001</v>
      </c>
      <c r="C50" s="14">
        <f t="shared" si="1"/>
        <v>10003</v>
      </c>
      <c r="D50" s="14">
        <f t="shared" si="2"/>
        <v>10007</v>
      </c>
      <c r="E50" s="14">
        <f>VLOOKUP(L50,$A$1:$D$30,3,FALSE)</f>
        <v>20001</v>
      </c>
      <c r="F50" s="14">
        <v>20008</v>
      </c>
      <c r="H50" s="12">
        <v>18</v>
      </c>
      <c r="I50" s="15">
        <v>1</v>
      </c>
      <c r="J50" s="15">
        <v>3</v>
      </c>
      <c r="K50" s="15">
        <v>18</v>
      </c>
      <c r="L50" s="15">
        <v>10</v>
      </c>
      <c r="M50" s="15">
        <v>209</v>
      </c>
    </row>
    <row r="51" spans="1:13">
      <c r="A51" s="4" t="s">
        <v>354</v>
      </c>
      <c r="B51" s="14">
        <f t="shared" si="0"/>
        <v>10006</v>
      </c>
      <c r="C51" s="14">
        <f t="shared" si="1"/>
        <v>10004</v>
      </c>
      <c r="D51" s="14">
        <f t="shared" si="2"/>
        <v>10011</v>
      </c>
      <c r="E51" s="14">
        <f t="shared" ref="E51:E60" si="3">VLOOKUP(L51,$A$1:$D$30,3,FALSE)</f>
        <v>20003</v>
      </c>
      <c r="F51" s="14">
        <f t="shared" ref="F51:F62" si="4">VLOOKUP(M51,$A$1:$D$30,3,FALSE)</f>
        <v>20005</v>
      </c>
      <c r="H51" s="12">
        <v>19</v>
      </c>
      <c r="I51" s="15">
        <v>20</v>
      </c>
      <c r="J51" s="15">
        <v>5</v>
      </c>
      <c r="K51" s="15">
        <v>6</v>
      </c>
      <c r="L51" s="15">
        <v>30</v>
      </c>
      <c r="M51" s="15">
        <v>14</v>
      </c>
    </row>
    <row r="52" spans="1:13">
      <c r="A52" s="4" t="s">
        <v>355</v>
      </c>
      <c r="B52" s="14">
        <f t="shared" si="0"/>
        <v>10001</v>
      </c>
      <c r="C52" s="14">
        <f t="shared" si="1"/>
        <v>10002</v>
      </c>
      <c r="D52" s="14">
        <f t="shared" si="2"/>
        <v>10007</v>
      </c>
      <c r="E52" s="14">
        <f t="shared" si="3"/>
        <v>20001</v>
      </c>
      <c r="F52" s="14">
        <f t="shared" si="4"/>
        <v>20002</v>
      </c>
      <c r="H52" s="12">
        <v>20</v>
      </c>
      <c r="I52" s="15">
        <v>1</v>
      </c>
      <c r="J52" s="15">
        <v>2</v>
      </c>
      <c r="K52" s="15">
        <v>18</v>
      </c>
      <c r="L52" s="15">
        <v>10</v>
      </c>
      <c r="M52" s="15">
        <v>11</v>
      </c>
    </row>
    <row r="53" spans="1:13">
      <c r="A53" s="4" t="s">
        <v>356</v>
      </c>
      <c r="B53" s="14">
        <f t="shared" si="0"/>
        <v>10017</v>
      </c>
      <c r="C53" s="14">
        <f t="shared" si="1"/>
        <v>10006</v>
      </c>
      <c r="D53" s="14">
        <f t="shared" si="2"/>
        <v>10005</v>
      </c>
      <c r="E53" s="14">
        <f t="shared" si="3"/>
        <v>20003</v>
      </c>
      <c r="F53" s="14">
        <v>20004</v>
      </c>
      <c r="H53" s="12">
        <v>21</v>
      </c>
      <c r="I53" s="15">
        <v>211</v>
      </c>
      <c r="J53" s="15">
        <v>20</v>
      </c>
      <c r="K53" s="15">
        <v>4</v>
      </c>
      <c r="L53" s="15">
        <v>30</v>
      </c>
      <c r="M53" s="15">
        <v>13</v>
      </c>
    </row>
    <row r="54" spans="1:13">
      <c r="A54" s="4" t="s">
        <v>357</v>
      </c>
      <c r="B54" s="14">
        <f t="shared" si="0"/>
        <v>10006</v>
      </c>
      <c r="C54" s="14">
        <v>10018</v>
      </c>
      <c r="D54" s="14">
        <f t="shared" si="2"/>
        <v>10004</v>
      </c>
      <c r="E54" s="14">
        <f t="shared" si="3"/>
        <v>20002</v>
      </c>
      <c r="F54" s="14">
        <f t="shared" si="4"/>
        <v>20005</v>
      </c>
      <c r="H54" s="12">
        <v>22</v>
      </c>
      <c r="I54" s="15">
        <v>20</v>
      </c>
      <c r="J54" s="15">
        <v>202</v>
      </c>
      <c r="K54" s="15">
        <v>5</v>
      </c>
      <c r="L54" s="15">
        <v>11</v>
      </c>
      <c r="M54" s="15">
        <v>14</v>
      </c>
    </row>
    <row r="55" spans="1:13">
      <c r="A55" s="4" t="s">
        <v>358</v>
      </c>
      <c r="B55" s="14">
        <v>10017</v>
      </c>
      <c r="C55" s="14">
        <f t="shared" si="1"/>
        <v>10003</v>
      </c>
      <c r="D55" s="14">
        <f t="shared" si="2"/>
        <v>10007</v>
      </c>
      <c r="E55" s="14">
        <v>20003</v>
      </c>
      <c r="F55" s="14">
        <v>20009</v>
      </c>
      <c r="H55" s="12">
        <v>23</v>
      </c>
      <c r="I55" s="15">
        <v>21</v>
      </c>
      <c r="J55" s="15">
        <v>3</v>
      </c>
      <c r="K55" s="15">
        <v>18</v>
      </c>
      <c r="L55" s="15">
        <v>31</v>
      </c>
      <c r="M55" s="15">
        <v>12</v>
      </c>
    </row>
    <row r="56" spans="1:13">
      <c r="A56" s="4" t="s">
        <v>359</v>
      </c>
      <c r="B56" s="14">
        <f t="shared" si="0"/>
        <v>10006</v>
      </c>
      <c r="C56" s="14">
        <f t="shared" si="1"/>
        <v>10003</v>
      </c>
      <c r="D56" s="14">
        <f t="shared" si="2"/>
        <v>10011</v>
      </c>
      <c r="E56" s="14">
        <v>20009</v>
      </c>
      <c r="F56" s="14">
        <f t="shared" si="4"/>
        <v>20008</v>
      </c>
      <c r="H56" s="12">
        <v>24</v>
      </c>
      <c r="I56" s="15">
        <v>20</v>
      </c>
      <c r="J56" s="15">
        <v>3</v>
      </c>
      <c r="K56" s="15">
        <v>6</v>
      </c>
      <c r="L56" s="15">
        <v>12</v>
      </c>
      <c r="M56" s="15">
        <v>15</v>
      </c>
    </row>
    <row r="57" spans="1:13">
      <c r="A57" s="4" t="s">
        <v>360</v>
      </c>
      <c r="B57" s="14">
        <v>10017</v>
      </c>
      <c r="C57" s="14">
        <f t="shared" si="1"/>
        <v>10004</v>
      </c>
      <c r="D57" s="14">
        <v>10014</v>
      </c>
      <c r="E57" s="14">
        <f t="shared" si="3"/>
        <v>20005</v>
      </c>
      <c r="F57" s="14">
        <v>20006</v>
      </c>
      <c r="H57" s="12">
        <v>25</v>
      </c>
      <c r="I57" s="15">
        <v>21</v>
      </c>
      <c r="J57" s="15">
        <v>5</v>
      </c>
      <c r="K57" s="15">
        <v>25</v>
      </c>
      <c r="L57" s="15">
        <v>14</v>
      </c>
      <c r="M57" s="15">
        <v>24</v>
      </c>
    </row>
    <row r="58" spans="1:13">
      <c r="A58" s="4" t="s">
        <v>361</v>
      </c>
      <c r="B58" s="14">
        <f t="shared" si="0"/>
        <v>10006</v>
      </c>
      <c r="C58" s="14">
        <v>10018</v>
      </c>
      <c r="D58" s="14">
        <f t="shared" si="2"/>
        <v>10011</v>
      </c>
      <c r="E58" s="14">
        <v>20003</v>
      </c>
      <c r="F58" s="14">
        <v>20002</v>
      </c>
      <c r="H58" s="12">
        <v>26</v>
      </c>
      <c r="I58" s="15">
        <v>20</v>
      </c>
      <c r="J58" s="15">
        <v>201</v>
      </c>
      <c r="K58" s="15">
        <v>6</v>
      </c>
      <c r="L58" s="15">
        <v>31</v>
      </c>
      <c r="M58" s="15">
        <v>7</v>
      </c>
    </row>
    <row r="59" spans="1:13">
      <c r="A59" s="4" t="s">
        <v>362</v>
      </c>
      <c r="B59" s="14">
        <f t="shared" si="0"/>
        <v>10001</v>
      </c>
      <c r="C59" s="14">
        <f t="shared" si="1"/>
        <v>10004</v>
      </c>
      <c r="D59" s="14">
        <f t="shared" si="2"/>
        <v>10005</v>
      </c>
      <c r="E59" s="14">
        <f t="shared" si="3"/>
        <v>20001</v>
      </c>
      <c r="F59" s="14">
        <v>20004</v>
      </c>
      <c r="H59" s="12">
        <v>27</v>
      </c>
      <c r="I59" s="15">
        <v>1</v>
      </c>
      <c r="J59" s="15">
        <v>5</v>
      </c>
      <c r="K59" s="15">
        <v>4</v>
      </c>
      <c r="L59" s="15">
        <v>10</v>
      </c>
      <c r="M59" s="15">
        <v>13</v>
      </c>
    </row>
    <row r="60" spans="1:13">
      <c r="A60" s="4" t="s">
        <v>363</v>
      </c>
      <c r="B60" s="14">
        <v>10017</v>
      </c>
      <c r="C60" s="14">
        <v>10018</v>
      </c>
      <c r="D60" s="14">
        <v>10014</v>
      </c>
      <c r="E60" s="14">
        <f t="shared" si="3"/>
        <v>20002</v>
      </c>
      <c r="F60" s="14">
        <v>20009</v>
      </c>
      <c r="H60" s="12">
        <v>28</v>
      </c>
      <c r="I60" s="15">
        <v>21</v>
      </c>
      <c r="J60" s="15">
        <v>38</v>
      </c>
      <c r="K60" s="15">
        <v>25</v>
      </c>
      <c r="L60" s="15">
        <v>11</v>
      </c>
      <c r="M60" s="15">
        <v>12</v>
      </c>
    </row>
    <row r="61" spans="1:13">
      <c r="A61" s="4" t="s">
        <v>364</v>
      </c>
      <c r="B61" s="14">
        <f t="shared" si="0"/>
        <v>10001</v>
      </c>
      <c r="C61" s="14">
        <f t="shared" si="1"/>
        <v>10003</v>
      </c>
      <c r="D61" s="14">
        <f t="shared" si="2"/>
        <v>10007</v>
      </c>
      <c r="E61" s="14">
        <v>20009</v>
      </c>
      <c r="F61" s="14">
        <f t="shared" si="4"/>
        <v>20004</v>
      </c>
      <c r="H61" s="12">
        <v>29</v>
      </c>
      <c r="I61" s="15">
        <v>1</v>
      </c>
      <c r="J61" s="15">
        <v>3</v>
      </c>
      <c r="K61" s="15">
        <v>18</v>
      </c>
      <c r="L61" s="15">
        <v>12</v>
      </c>
      <c r="M61" s="15">
        <v>32</v>
      </c>
    </row>
    <row r="62" spans="1:13">
      <c r="A62" s="4" t="s">
        <v>365</v>
      </c>
      <c r="B62" s="14">
        <f t="shared" si="0"/>
        <v>10001</v>
      </c>
      <c r="C62" s="14">
        <f t="shared" si="1"/>
        <v>10005</v>
      </c>
      <c r="D62" s="14">
        <v>10018</v>
      </c>
      <c r="E62" s="14">
        <v>20009</v>
      </c>
      <c r="F62" s="14">
        <f t="shared" si="4"/>
        <v>20005</v>
      </c>
      <c r="H62" s="12">
        <v>30</v>
      </c>
      <c r="I62" s="15">
        <v>1</v>
      </c>
      <c r="J62" s="15">
        <v>4</v>
      </c>
      <c r="K62" s="15">
        <v>201</v>
      </c>
      <c r="L62" s="15">
        <v>12</v>
      </c>
      <c r="M62" s="15">
        <v>14</v>
      </c>
    </row>
  </sheetData>
  <conditionalFormatting sqref="B33:E33 C34:E34 B35:E35 C36:E36 B37:E37 C38:E38">
    <cfRule type="cellIs" dxfId="0" priority="1" operator="between">
      <formula>30001</formula>
      <formula>39999</formula>
    </cfRule>
    <cfRule type="cellIs" dxfId="1" priority="2" operator="between">
      <formula>20000</formula>
      <formula>29999</formula>
    </cfRule>
  </conditionalFormatting>
  <dataValidations count="1">
    <dataValidation allowBlank="1" showInputMessage="1" showErrorMessage="1" sqref="D3 D4 D5 D6 D7 D8 D9 D10 D11 D12 D13 D14 D15 D16 D17 D18 D19 D20 D25 D26 D27 D28 D29 D1:D2"/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11"/>
  <sheetViews>
    <sheetView workbookViewId="0">
      <selection activeCell="D11" sqref="A1:D11"/>
    </sheetView>
  </sheetViews>
  <sheetFormatPr defaultColWidth="8.625" defaultRowHeight="14.25" outlineLevelCol="3"/>
  <cols>
    <col min="2" max="2" width="11.625" customWidth="1"/>
    <col min="3" max="3" width="7" customWidth="1"/>
    <col min="4" max="4" width="12.875" customWidth="1"/>
  </cols>
  <sheetData>
    <row r="1" ht="16.5" spans="1:4">
      <c r="A1" s="1">
        <v>1</v>
      </c>
      <c r="B1" s="1" t="s">
        <v>311</v>
      </c>
      <c r="C1" s="2">
        <v>10001</v>
      </c>
      <c r="D1" s="2" t="s">
        <v>66</v>
      </c>
    </row>
    <row r="2" ht="16.5" spans="1:4">
      <c r="A2" s="1">
        <v>2</v>
      </c>
      <c r="B2" s="1" t="s">
        <v>87</v>
      </c>
      <c r="C2" s="2">
        <v>10002</v>
      </c>
      <c r="D2" s="2" t="s">
        <v>70</v>
      </c>
    </row>
    <row r="3" ht="16.5" spans="1:4">
      <c r="A3" s="1">
        <v>3</v>
      </c>
      <c r="B3" s="1" t="s">
        <v>312</v>
      </c>
      <c r="C3" s="2">
        <v>10003</v>
      </c>
      <c r="D3" s="2" t="s">
        <v>76</v>
      </c>
    </row>
    <row r="4" ht="16.5" spans="1:4">
      <c r="A4" s="1">
        <v>4</v>
      </c>
      <c r="B4" s="1" t="s">
        <v>313</v>
      </c>
      <c r="C4" s="2">
        <v>10005</v>
      </c>
      <c r="D4" s="2" t="s">
        <v>87</v>
      </c>
    </row>
    <row r="5" ht="16.5" spans="1:4">
      <c r="A5" s="1">
        <v>5</v>
      </c>
      <c r="B5" s="1" t="s">
        <v>314</v>
      </c>
      <c r="C5" s="2">
        <v>10004</v>
      </c>
      <c r="D5" s="2" t="s">
        <v>81</v>
      </c>
    </row>
    <row r="6" ht="16.5" spans="1:4">
      <c r="A6" s="1">
        <v>10</v>
      </c>
      <c r="B6" s="1" t="s">
        <v>319</v>
      </c>
      <c r="C6" s="3">
        <v>20001</v>
      </c>
      <c r="D6" s="3" t="s">
        <v>177</v>
      </c>
    </row>
    <row r="7" ht="16.5" spans="1:4">
      <c r="A7" s="1">
        <v>20</v>
      </c>
      <c r="B7" s="1" t="s">
        <v>328</v>
      </c>
      <c r="C7" s="2">
        <v>10006</v>
      </c>
      <c r="D7" s="2" t="s">
        <v>93</v>
      </c>
    </row>
    <row r="8" ht="16.5" spans="1:4">
      <c r="A8" s="1">
        <v>32</v>
      </c>
      <c r="B8" s="1" t="s">
        <v>331</v>
      </c>
      <c r="C8" s="3">
        <v>20004</v>
      </c>
      <c r="D8" s="3" t="s">
        <v>194</v>
      </c>
    </row>
    <row r="9" ht="16.5" spans="1:4">
      <c r="A9" s="1">
        <v>203</v>
      </c>
      <c r="B9" s="1" t="s">
        <v>332</v>
      </c>
      <c r="C9" s="2">
        <v>10003</v>
      </c>
      <c r="D9" s="2" t="s">
        <v>76</v>
      </c>
    </row>
    <row r="10" spans="1:4">
      <c r="A10" s="1">
        <v>209</v>
      </c>
      <c r="B10" s="1" t="s">
        <v>252</v>
      </c>
      <c r="C10" s="4"/>
      <c r="D10" s="4"/>
    </row>
    <row r="11" ht="16.5" spans="1:4">
      <c r="A11" s="1">
        <v>212</v>
      </c>
      <c r="B11" s="1" t="s">
        <v>335</v>
      </c>
      <c r="C11" s="2">
        <v>10018</v>
      </c>
      <c r="D11" s="2" t="s">
        <v>156</v>
      </c>
    </row>
  </sheetData>
  <sortState ref="A1:D12">
    <sortCondition ref="A1"/>
  </sortState>
  <dataValidations count="1">
    <dataValidation allowBlank="1" showInputMessage="1" showErrorMessage="1" sqref="D3 D4 D5 D6 D7 D9 D10 D11 D1:D2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Monster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ramune</cp:lastModifiedBy>
  <dcterms:created xsi:type="dcterms:W3CDTF">2015-06-05T18:17:00Z</dcterms:created>
  <dcterms:modified xsi:type="dcterms:W3CDTF">2024-07-05T06:54:11Z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2052-12.1.0.16929</vt:lpwstr>
  </property>
</Properties>
</file>